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my_projects\goldvista\gold_vista\"/>
    </mc:Choice>
  </mc:AlternateContent>
  <xr:revisionPtr revIDLastSave="0" documentId="13_ncr:1_{8773C616-5709-4C6B-9A80-DA18E7D29A81}" xr6:coauthVersionLast="47" xr6:coauthVersionMax="47" xr10:uidLastSave="{00000000-0000-0000-0000-000000000000}"/>
  <bookViews>
    <workbookView xWindow="-110" yWindow="-110" windowWidth="19420" windowHeight="10300" activeTab="2" xr2:uid="{D8498D0C-4F24-4B13-81FD-33F517E8150C}"/>
  </bookViews>
  <sheets>
    <sheet name="Product Pivot." sheetId="3" r:id="rId1"/>
    <sheet name="Product_Analysis_Data" sheetId="2" r:id="rId2"/>
    <sheet name="Dashboard" sheetId="4" r:id="rId3"/>
    <sheet name="Sheet4" sheetId="5" r:id="rId4"/>
  </sheets>
  <definedNames>
    <definedName name="ExternalData_1" localSheetId="1" hidden="1">Product_Analysis_Data!$A$1:$G$47</definedName>
    <definedName name="Slicer_item_type_name">#N/A</definedName>
    <definedName name="Slicer_karat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5" l="1"/>
  <c r="F7" i="5"/>
  <c r="F6" i="5"/>
  <c r="F4" i="5"/>
  <c r="F3" i="5"/>
  <c r="F5" i="5"/>
  <c r="F10" i="5"/>
  <c r="F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82F709-B956-41E9-84E2-6C239355FDA2}" keepAlive="1" name="Query - Product_Analysis_Data" description="Connection to the 'Product_Analysis_Data' query in the workbook." type="5" refreshedVersion="7" background="1" saveData="1">
    <dbPr connection="Provider=Microsoft.Mashup.OleDb.1;Data Source=$Workbook$;Location=Product_Analysis_Data;Extended Properties=&quot;&quot;" command="SELECT * FROM [Product_Analysis_Data]"/>
  </connection>
</connections>
</file>

<file path=xl/sharedStrings.xml><?xml version="1.0" encoding="utf-8"?>
<sst xmlns="http://schemas.openxmlformats.org/spreadsheetml/2006/main" count="172" uniqueCount="50">
  <si>
    <t>item_type_name</t>
  </si>
  <si>
    <t>karat_name</t>
  </si>
  <si>
    <t>revenue</t>
  </si>
  <si>
    <t>weight_sold</t>
  </si>
  <si>
    <t>making_revenue</t>
  </si>
  <si>
    <t>avg_metal_rate</t>
  </si>
  <si>
    <t>transaction_count</t>
  </si>
  <si>
    <t>GOLD</t>
  </si>
  <si>
    <t>24</t>
  </si>
  <si>
    <t>CHAIN</t>
  </si>
  <si>
    <t>22</t>
  </si>
  <si>
    <t>NECKLACE</t>
  </si>
  <si>
    <t>BANGLE</t>
  </si>
  <si>
    <t>EARING</t>
  </si>
  <si>
    <t>RING</t>
  </si>
  <si>
    <t>PRESELT</t>
  </si>
  <si>
    <t>SILVER</t>
  </si>
  <si>
    <t>Silver Bar</t>
  </si>
  <si>
    <t>21 KR OLD GOLD</t>
  </si>
  <si>
    <t>21</t>
  </si>
  <si>
    <t>COIN</t>
  </si>
  <si>
    <t>22 KR OLD GOLD</t>
  </si>
  <si>
    <t>LOKET</t>
  </si>
  <si>
    <t>ANKLET</t>
  </si>
  <si>
    <t>WRING</t>
  </si>
  <si>
    <t>BALAK</t>
  </si>
  <si>
    <t>BLACK NEKLESE</t>
  </si>
  <si>
    <t>24KR OLD GOLD</t>
  </si>
  <si>
    <t>TICKLY</t>
  </si>
  <si>
    <t>KAF</t>
  </si>
  <si>
    <t>GOLD WATCH</t>
  </si>
  <si>
    <t>BELT</t>
  </si>
  <si>
    <t>CHAINTH</t>
  </si>
  <si>
    <t>MG</t>
  </si>
  <si>
    <t>18</t>
  </si>
  <si>
    <t>Silver Bangle</t>
  </si>
  <si>
    <t>Nosepin</t>
  </si>
  <si>
    <t>Row Labels</t>
  </si>
  <si>
    <t>Grand Total</t>
  </si>
  <si>
    <t>Sum of revenue</t>
  </si>
  <si>
    <t>Total Sum of revenue</t>
  </si>
  <si>
    <t>Total Sum of weight_sold</t>
  </si>
  <si>
    <t>Sum of weight_sold</t>
  </si>
  <si>
    <t>Total Sum of making_revenue</t>
  </si>
  <si>
    <t>Sum of making_revenue</t>
  </si>
  <si>
    <t>Total Sum of avg_metal_rate</t>
  </si>
  <si>
    <t>Sum of avg_metal_rate</t>
  </si>
  <si>
    <t>Total Sum of transaction_count</t>
  </si>
  <si>
    <t>Sum of transaction_count</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</si>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</sst>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2 – Product &amp; Karat Analysis.xlsx]Product Pivot.!PivotTable1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Pivot.'!$B$3:$B$5</c:f>
              <c:strCache>
                <c:ptCount val="1"/>
                <c:pt idx="0">
                  <c:v>18 - Sum of weight_sold</c:v>
                </c:pt>
              </c:strCache>
            </c:strRef>
          </c:tx>
          <c:spPr>
            <a:solidFill>
              <a:schemeClr val="accent1"/>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Pivot.'!$B$6:$B$32</c:f>
              <c:numCache>
                <c:formatCode>General</c:formatCode>
                <c:ptCount val="26"/>
                <c:pt idx="5">
                  <c:v>8.9</c:v>
                </c:pt>
                <c:pt idx="8">
                  <c:v>11.830000000000002</c:v>
                </c:pt>
                <c:pt idx="11">
                  <c:v>9.379999999999999</c:v>
                </c:pt>
                <c:pt idx="15">
                  <c:v>16.86</c:v>
                </c:pt>
                <c:pt idx="17">
                  <c:v>9</c:v>
                </c:pt>
                <c:pt idx="19">
                  <c:v>27.600000000000122</c:v>
                </c:pt>
                <c:pt idx="20">
                  <c:v>27.549999999999997</c:v>
                </c:pt>
                <c:pt idx="25">
                  <c:v>13.85</c:v>
                </c:pt>
              </c:numCache>
            </c:numRef>
          </c:val>
          <c:extLst>
            <c:ext xmlns:c16="http://schemas.microsoft.com/office/drawing/2014/chart" uri="{C3380CC4-5D6E-409C-BE32-E72D297353CC}">
              <c16:uniqueId val="{00000000-72DC-4C74-8E75-D69F7FD4037F}"/>
            </c:ext>
          </c:extLst>
        </c:ser>
        <c:ser>
          <c:idx val="1"/>
          <c:order val="1"/>
          <c:tx>
            <c:strRef>
              <c:f>'Product Pivot.'!$C$3:$C$5</c:f>
              <c:strCache>
                <c:ptCount val="1"/>
                <c:pt idx="0">
                  <c:v>18 - Sum of revenue</c:v>
                </c:pt>
              </c:strCache>
            </c:strRef>
          </c:tx>
          <c:spPr>
            <a:solidFill>
              <a:schemeClr val="accent2"/>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Pivot.'!$C$6:$C$32</c:f>
              <c:numCache>
                <c:formatCode>General</c:formatCode>
                <c:ptCount val="26"/>
                <c:pt idx="5">
                  <c:v>2450</c:v>
                </c:pt>
                <c:pt idx="8">
                  <c:v>6290</c:v>
                </c:pt>
                <c:pt idx="11">
                  <c:v>4290</c:v>
                </c:pt>
                <c:pt idx="15">
                  <c:v>9140</c:v>
                </c:pt>
                <c:pt idx="17">
                  <c:v>3050</c:v>
                </c:pt>
                <c:pt idx="19">
                  <c:v>20951.349999999995</c:v>
                </c:pt>
                <c:pt idx="20">
                  <c:v>14491.96</c:v>
                </c:pt>
                <c:pt idx="25">
                  <c:v>5775</c:v>
                </c:pt>
              </c:numCache>
            </c:numRef>
          </c:val>
          <c:extLst>
            <c:ext xmlns:c16="http://schemas.microsoft.com/office/drawing/2014/chart" uri="{C3380CC4-5D6E-409C-BE32-E72D297353CC}">
              <c16:uniqueId val="{00000001-72DC-4C74-8E75-D69F7FD4037F}"/>
            </c:ext>
          </c:extLst>
        </c:ser>
        <c:ser>
          <c:idx val="2"/>
          <c:order val="2"/>
          <c:tx>
            <c:strRef>
              <c:f>'Product Pivot.'!$D$3:$D$5</c:f>
              <c:strCache>
                <c:ptCount val="1"/>
                <c:pt idx="0">
                  <c:v>18 - Sum of making_revenue</c:v>
                </c:pt>
              </c:strCache>
            </c:strRef>
          </c:tx>
          <c:spPr>
            <a:solidFill>
              <a:schemeClr val="accent3"/>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Pivot.'!$D$6:$D$32</c:f>
              <c:numCache>
                <c:formatCode>General</c:formatCode>
                <c:ptCount val="26"/>
                <c:pt idx="5">
                  <c:v>212.13</c:v>
                </c:pt>
                <c:pt idx="8">
                  <c:v>2488.5099999999998</c:v>
                </c:pt>
                <c:pt idx="11">
                  <c:v>1448.92</c:v>
                </c:pt>
                <c:pt idx="15">
                  <c:v>3803.0699999999997</c:v>
                </c:pt>
                <c:pt idx="17">
                  <c:v>367.37</c:v>
                </c:pt>
                <c:pt idx="19">
                  <c:v>12040.929999999998</c:v>
                </c:pt>
                <c:pt idx="20">
                  <c:v>5115.74</c:v>
                </c:pt>
                <c:pt idx="25">
                  <c:v>1458.4699999999998</c:v>
                </c:pt>
              </c:numCache>
            </c:numRef>
          </c:val>
          <c:extLst>
            <c:ext xmlns:c16="http://schemas.microsoft.com/office/drawing/2014/chart" uri="{C3380CC4-5D6E-409C-BE32-E72D297353CC}">
              <c16:uniqueId val="{00000002-72DC-4C74-8E75-D69F7FD4037F}"/>
            </c:ext>
          </c:extLst>
        </c:ser>
        <c:ser>
          <c:idx val="3"/>
          <c:order val="3"/>
          <c:tx>
            <c:strRef>
              <c:f>'Product Pivot.'!$E$3:$E$5</c:f>
              <c:strCache>
                <c:ptCount val="1"/>
                <c:pt idx="0">
                  <c:v>18 - Sum of avg_metal_rate</c:v>
                </c:pt>
              </c:strCache>
            </c:strRef>
          </c:tx>
          <c:spPr>
            <a:solidFill>
              <a:schemeClr val="accent4"/>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Pivot.'!$E$6:$E$32</c:f>
              <c:numCache>
                <c:formatCode>General</c:formatCode>
                <c:ptCount val="26"/>
                <c:pt idx="5">
                  <c:v>251.44499999999999</c:v>
                </c:pt>
                <c:pt idx="8">
                  <c:v>319.30211538461538</c:v>
                </c:pt>
                <c:pt idx="11">
                  <c:v>300.26333333333332</c:v>
                </c:pt>
                <c:pt idx="15">
                  <c:v>302.26972222222219</c:v>
                </c:pt>
                <c:pt idx="17">
                  <c:v>298.07</c:v>
                </c:pt>
                <c:pt idx="19">
                  <c:v>308.55133152173914</c:v>
                </c:pt>
                <c:pt idx="20">
                  <c:v>339.16223214285714</c:v>
                </c:pt>
                <c:pt idx="25">
                  <c:v>319.20666666666665</c:v>
                </c:pt>
              </c:numCache>
            </c:numRef>
          </c:val>
          <c:extLst>
            <c:ext xmlns:c16="http://schemas.microsoft.com/office/drawing/2014/chart" uri="{C3380CC4-5D6E-409C-BE32-E72D297353CC}">
              <c16:uniqueId val="{00000003-72DC-4C74-8E75-D69F7FD4037F}"/>
            </c:ext>
          </c:extLst>
        </c:ser>
        <c:ser>
          <c:idx val="4"/>
          <c:order val="4"/>
          <c:tx>
            <c:strRef>
              <c:f>'Product Pivot.'!$F$3:$F$5</c:f>
              <c:strCache>
                <c:ptCount val="1"/>
                <c:pt idx="0">
                  <c:v>18 - Sum of transaction_count</c:v>
                </c:pt>
              </c:strCache>
            </c:strRef>
          </c:tx>
          <c:spPr>
            <a:solidFill>
              <a:schemeClr val="accent5"/>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Pivot.'!$F$6:$F$32</c:f>
              <c:numCache>
                <c:formatCode>General</c:formatCode>
                <c:ptCount val="26"/>
                <c:pt idx="5">
                  <c:v>1</c:v>
                </c:pt>
                <c:pt idx="8">
                  <c:v>13</c:v>
                </c:pt>
                <c:pt idx="11">
                  <c:v>6</c:v>
                </c:pt>
                <c:pt idx="15">
                  <c:v>18</c:v>
                </c:pt>
                <c:pt idx="17">
                  <c:v>1</c:v>
                </c:pt>
                <c:pt idx="19">
                  <c:v>214</c:v>
                </c:pt>
                <c:pt idx="20">
                  <c:v>28</c:v>
                </c:pt>
                <c:pt idx="25">
                  <c:v>3</c:v>
                </c:pt>
              </c:numCache>
            </c:numRef>
          </c:val>
          <c:extLst>
            <c:ext xmlns:c16="http://schemas.microsoft.com/office/drawing/2014/chart" uri="{C3380CC4-5D6E-409C-BE32-E72D297353CC}">
              <c16:uniqueId val="{00000004-72DC-4C74-8E75-D69F7FD4037F}"/>
            </c:ext>
          </c:extLst>
        </c:ser>
        <c:ser>
          <c:idx val="5"/>
          <c:order val="5"/>
          <c:tx>
            <c:strRef>
              <c:f>'Product Pivot.'!$G$3:$G$5</c:f>
              <c:strCache>
                <c:ptCount val="1"/>
                <c:pt idx="0">
                  <c:v>21 - Sum of weight_sold</c:v>
                </c:pt>
              </c:strCache>
            </c:strRef>
          </c:tx>
          <c:spPr>
            <a:solidFill>
              <a:schemeClr val="accent6"/>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Pivot.'!$G$6:$G$32</c:f>
              <c:numCache>
                <c:formatCode>General</c:formatCode>
                <c:ptCount val="26"/>
                <c:pt idx="0">
                  <c:v>21635.280999999941</c:v>
                </c:pt>
                <c:pt idx="3">
                  <c:v>16.5</c:v>
                </c:pt>
                <c:pt idx="4">
                  <c:v>3</c:v>
                </c:pt>
                <c:pt idx="5">
                  <c:v>1365.7599999999998</c:v>
                </c:pt>
                <c:pt idx="8">
                  <c:v>20.63</c:v>
                </c:pt>
                <c:pt idx="10">
                  <c:v>20.170000000000002</c:v>
                </c:pt>
                <c:pt idx="11">
                  <c:v>330.36000000000024</c:v>
                </c:pt>
                <c:pt idx="14">
                  <c:v>23.799999999999997</c:v>
                </c:pt>
                <c:pt idx="15">
                  <c:v>203.24000000000004</c:v>
                </c:pt>
                <c:pt idx="17">
                  <c:v>1458.5000000000005</c:v>
                </c:pt>
                <c:pt idx="19">
                  <c:v>294.53000000000026</c:v>
                </c:pt>
                <c:pt idx="20">
                  <c:v>414.77899999999988</c:v>
                </c:pt>
                <c:pt idx="25">
                  <c:v>181.51000000000002</c:v>
                </c:pt>
              </c:numCache>
            </c:numRef>
          </c:val>
          <c:extLst>
            <c:ext xmlns:c16="http://schemas.microsoft.com/office/drawing/2014/chart" uri="{C3380CC4-5D6E-409C-BE32-E72D297353CC}">
              <c16:uniqueId val="{00000047-FD24-4778-88E1-2768BF3CA74F}"/>
            </c:ext>
          </c:extLst>
        </c:ser>
        <c:ser>
          <c:idx val="6"/>
          <c:order val="6"/>
          <c:tx>
            <c:strRef>
              <c:f>'Product Pivot.'!$H$3:$H$5</c:f>
              <c:strCache>
                <c:ptCount val="1"/>
                <c:pt idx="0">
                  <c:v>21 - Sum of revenue</c:v>
                </c:pt>
              </c:strCache>
            </c:strRef>
          </c:tx>
          <c:spPr>
            <a:solidFill>
              <a:schemeClr val="accent1">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Pivot.'!$H$6:$H$32</c:f>
              <c:numCache>
                <c:formatCode>General</c:formatCode>
                <c:ptCount val="26"/>
                <c:pt idx="0">
                  <c:v>7955727.2000000002</c:v>
                </c:pt>
                <c:pt idx="3">
                  <c:v>5675</c:v>
                </c:pt>
                <c:pt idx="4">
                  <c:v>1250</c:v>
                </c:pt>
                <c:pt idx="5">
                  <c:v>533734</c:v>
                </c:pt>
                <c:pt idx="8">
                  <c:v>10030</c:v>
                </c:pt>
                <c:pt idx="10">
                  <c:v>7905.18</c:v>
                </c:pt>
                <c:pt idx="11">
                  <c:v>149019</c:v>
                </c:pt>
                <c:pt idx="14">
                  <c:v>10305</c:v>
                </c:pt>
                <c:pt idx="15">
                  <c:v>90733</c:v>
                </c:pt>
                <c:pt idx="17">
                  <c:v>583520.76999999979</c:v>
                </c:pt>
                <c:pt idx="19">
                  <c:v>128229.1</c:v>
                </c:pt>
                <c:pt idx="20">
                  <c:v>178943.62</c:v>
                </c:pt>
                <c:pt idx="25">
                  <c:v>81403</c:v>
                </c:pt>
              </c:numCache>
            </c:numRef>
          </c:val>
          <c:extLst>
            <c:ext xmlns:c16="http://schemas.microsoft.com/office/drawing/2014/chart" uri="{C3380CC4-5D6E-409C-BE32-E72D297353CC}">
              <c16:uniqueId val="{00000048-FD24-4778-88E1-2768BF3CA74F}"/>
            </c:ext>
          </c:extLst>
        </c:ser>
        <c:ser>
          <c:idx val="7"/>
          <c:order val="7"/>
          <c:tx>
            <c:strRef>
              <c:f>'Product Pivot.'!$I$3:$I$5</c:f>
              <c:strCache>
                <c:ptCount val="1"/>
                <c:pt idx="0">
                  <c:v>21 - Sum of making_revenue</c:v>
                </c:pt>
              </c:strCache>
            </c:strRef>
          </c:tx>
          <c:spPr>
            <a:solidFill>
              <a:schemeClr val="accent2">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Pivot.'!$I$6:$I$32</c:f>
              <c:numCache>
                <c:formatCode>General</c:formatCode>
                <c:ptCount val="26"/>
                <c:pt idx="0">
                  <c:v>64482.99000000002</c:v>
                </c:pt>
                <c:pt idx="3">
                  <c:v>20.95</c:v>
                </c:pt>
                <c:pt idx="4">
                  <c:v>317.48</c:v>
                </c:pt>
                <c:pt idx="5">
                  <c:v>29480.99</c:v>
                </c:pt>
                <c:pt idx="8">
                  <c:v>2347.04</c:v>
                </c:pt>
                <c:pt idx="10">
                  <c:v>1085.3699999999999</c:v>
                </c:pt>
                <c:pt idx="11">
                  <c:v>32269.690000000017</c:v>
                </c:pt>
                <c:pt idx="14">
                  <c:v>2175.46</c:v>
                </c:pt>
                <c:pt idx="15">
                  <c:v>19681.520000000004</c:v>
                </c:pt>
                <c:pt idx="17">
                  <c:v>68624.690000000031</c:v>
                </c:pt>
                <c:pt idx="19">
                  <c:v>21095.089999999989</c:v>
                </c:pt>
                <c:pt idx="20">
                  <c:v>39852.889999999985</c:v>
                </c:pt>
                <c:pt idx="25">
                  <c:v>20318.090000000004</c:v>
                </c:pt>
              </c:numCache>
            </c:numRef>
          </c:val>
          <c:extLst>
            <c:ext xmlns:c16="http://schemas.microsoft.com/office/drawing/2014/chart" uri="{C3380CC4-5D6E-409C-BE32-E72D297353CC}">
              <c16:uniqueId val="{00000049-FD24-4778-88E1-2768BF3CA74F}"/>
            </c:ext>
          </c:extLst>
        </c:ser>
        <c:ser>
          <c:idx val="8"/>
          <c:order val="8"/>
          <c:tx>
            <c:strRef>
              <c:f>'Product Pivot.'!$J$3:$J$5</c:f>
              <c:strCache>
                <c:ptCount val="1"/>
                <c:pt idx="0">
                  <c:v>21 - Sum of avg_metal_rate</c:v>
                </c:pt>
              </c:strCache>
            </c:strRef>
          </c:tx>
          <c:spPr>
            <a:solidFill>
              <a:schemeClr val="accent3">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Pivot.'!$J$6:$J$32</c:f>
              <c:numCache>
                <c:formatCode>General</c:formatCode>
                <c:ptCount val="26"/>
                <c:pt idx="0">
                  <c:v>386.91828025477764</c:v>
                </c:pt>
                <c:pt idx="3">
                  <c:v>342.67</c:v>
                </c:pt>
                <c:pt idx="4">
                  <c:v>310.83999999999997</c:v>
                </c:pt>
                <c:pt idx="5">
                  <c:v>349.76317796610164</c:v>
                </c:pt>
                <c:pt idx="8">
                  <c:v>368.29270833333339</c:v>
                </c:pt>
                <c:pt idx="10">
                  <c:v>341.92500000000001</c:v>
                </c:pt>
                <c:pt idx="11">
                  <c:v>351.9007894736842</c:v>
                </c:pt>
                <c:pt idx="14">
                  <c:v>343.26321428571424</c:v>
                </c:pt>
                <c:pt idx="15">
                  <c:v>350.43582770270268</c:v>
                </c:pt>
                <c:pt idx="17">
                  <c:v>355.03227201257874</c:v>
                </c:pt>
                <c:pt idx="19">
                  <c:v>364.26781716417912</c:v>
                </c:pt>
                <c:pt idx="20">
                  <c:v>333.7057592592592</c:v>
                </c:pt>
                <c:pt idx="25">
                  <c:v>339.20428571428556</c:v>
                </c:pt>
              </c:numCache>
            </c:numRef>
          </c:val>
          <c:extLst>
            <c:ext xmlns:c16="http://schemas.microsoft.com/office/drawing/2014/chart" uri="{C3380CC4-5D6E-409C-BE32-E72D297353CC}">
              <c16:uniqueId val="{0000004A-FD24-4778-88E1-2768BF3CA74F}"/>
            </c:ext>
          </c:extLst>
        </c:ser>
        <c:ser>
          <c:idx val="9"/>
          <c:order val="9"/>
          <c:tx>
            <c:strRef>
              <c:f>'Product Pivot.'!$K$3:$K$5</c:f>
              <c:strCache>
                <c:ptCount val="1"/>
                <c:pt idx="0">
                  <c:v>21 - Sum of transaction_count</c:v>
                </c:pt>
              </c:strCache>
            </c:strRef>
          </c:tx>
          <c:spPr>
            <a:solidFill>
              <a:schemeClr val="accent4">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Pivot.'!$K$6:$K$32</c:f>
              <c:numCache>
                <c:formatCode>General</c:formatCode>
                <c:ptCount val="26"/>
                <c:pt idx="0">
                  <c:v>301</c:v>
                </c:pt>
                <c:pt idx="3">
                  <c:v>1</c:v>
                </c:pt>
                <c:pt idx="4">
                  <c:v>1</c:v>
                </c:pt>
                <c:pt idx="5">
                  <c:v>34</c:v>
                </c:pt>
                <c:pt idx="8">
                  <c:v>12</c:v>
                </c:pt>
                <c:pt idx="10">
                  <c:v>4</c:v>
                </c:pt>
                <c:pt idx="11">
                  <c:v>127</c:v>
                </c:pt>
                <c:pt idx="14">
                  <c:v>7</c:v>
                </c:pt>
                <c:pt idx="15">
                  <c:v>70</c:v>
                </c:pt>
                <c:pt idx="17">
                  <c:v>135</c:v>
                </c:pt>
                <c:pt idx="19">
                  <c:v>65</c:v>
                </c:pt>
                <c:pt idx="20">
                  <c:v>128</c:v>
                </c:pt>
                <c:pt idx="25">
                  <c:v>79</c:v>
                </c:pt>
              </c:numCache>
            </c:numRef>
          </c:val>
          <c:extLst>
            <c:ext xmlns:c16="http://schemas.microsoft.com/office/drawing/2014/chart" uri="{C3380CC4-5D6E-409C-BE32-E72D297353CC}">
              <c16:uniqueId val="{0000004B-FD24-4778-88E1-2768BF3CA74F}"/>
            </c:ext>
          </c:extLst>
        </c:ser>
        <c:ser>
          <c:idx val="10"/>
          <c:order val="10"/>
          <c:tx>
            <c:strRef>
              <c:f>'Product Pivot.'!$L$3:$L$5</c:f>
              <c:strCache>
                <c:ptCount val="1"/>
                <c:pt idx="0">
                  <c:v>22 - Sum of weight_sold</c:v>
                </c:pt>
              </c:strCache>
            </c:strRef>
          </c:tx>
          <c:spPr>
            <a:solidFill>
              <a:schemeClr val="accent5">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Pivot.'!$L$6:$L$32</c:f>
              <c:numCache>
                <c:formatCode>General</c:formatCode>
                <c:ptCount val="26"/>
                <c:pt idx="1">
                  <c:v>15802.010000000004</c:v>
                </c:pt>
                <c:pt idx="3">
                  <c:v>8180.5300000000034</c:v>
                </c:pt>
                <c:pt idx="4">
                  <c:v>1555.1100000000001</c:v>
                </c:pt>
                <c:pt idx="5">
                  <c:v>80378.126000000033</c:v>
                </c:pt>
                <c:pt idx="6">
                  <c:v>331.79999999999995</c:v>
                </c:pt>
                <c:pt idx="7">
                  <c:v>1282.9699999999996</c:v>
                </c:pt>
                <c:pt idx="8">
                  <c:v>129777.90300000024</c:v>
                </c:pt>
                <c:pt idx="9">
                  <c:v>147.83000000000004</c:v>
                </c:pt>
                <c:pt idx="10">
                  <c:v>17553.18</c:v>
                </c:pt>
                <c:pt idx="11">
                  <c:v>63974.022999999899</c:v>
                </c:pt>
                <c:pt idx="13">
                  <c:v>406.27</c:v>
                </c:pt>
                <c:pt idx="14">
                  <c:v>581.46999999999991</c:v>
                </c:pt>
                <c:pt idx="15">
                  <c:v>7522.537000000013</c:v>
                </c:pt>
                <c:pt idx="16">
                  <c:v>48.429999999999993</c:v>
                </c:pt>
                <c:pt idx="17">
                  <c:v>81955.505999999892</c:v>
                </c:pt>
                <c:pt idx="18">
                  <c:v>9.7999999999999989</c:v>
                </c:pt>
                <c:pt idx="19">
                  <c:v>22543.528999999904</c:v>
                </c:pt>
                <c:pt idx="20">
                  <c:v>35445.743999999671</c:v>
                </c:pt>
                <c:pt idx="24">
                  <c:v>635.82999999999993</c:v>
                </c:pt>
                <c:pt idx="25">
                  <c:v>4584.4000000000015</c:v>
                </c:pt>
              </c:numCache>
            </c:numRef>
          </c:val>
          <c:extLst>
            <c:ext xmlns:c16="http://schemas.microsoft.com/office/drawing/2014/chart" uri="{C3380CC4-5D6E-409C-BE32-E72D297353CC}">
              <c16:uniqueId val="{0000004C-FD24-4778-88E1-2768BF3CA74F}"/>
            </c:ext>
          </c:extLst>
        </c:ser>
        <c:ser>
          <c:idx val="11"/>
          <c:order val="11"/>
          <c:tx>
            <c:strRef>
              <c:f>'Product Pivot.'!$M$3:$M$5</c:f>
              <c:strCache>
                <c:ptCount val="1"/>
                <c:pt idx="0">
                  <c:v>22 - Sum of revenue</c:v>
                </c:pt>
              </c:strCache>
            </c:strRef>
          </c:tx>
          <c:spPr>
            <a:solidFill>
              <a:schemeClr val="accent6">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Pivot.'!$M$6:$M$32</c:f>
              <c:numCache>
                <c:formatCode>General</c:formatCode>
                <c:ptCount val="26"/>
                <c:pt idx="1">
                  <c:v>6004607</c:v>
                </c:pt>
                <c:pt idx="3">
                  <c:v>3580989</c:v>
                </c:pt>
                <c:pt idx="4">
                  <c:v>738098</c:v>
                </c:pt>
                <c:pt idx="5">
                  <c:v>35472721.5</c:v>
                </c:pt>
                <c:pt idx="6">
                  <c:v>147451</c:v>
                </c:pt>
                <c:pt idx="7">
                  <c:v>577485</c:v>
                </c:pt>
                <c:pt idx="8">
                  <c:v>57208828.530000001</c:v>
                </c:pt>
                <c:pt idx="9">
                  <c:v>66235</c:v>
                </c:pt>
                <c:pt idx="10">
                  <c:v>7336657.0599999977</c:v>
                </c:pt>
                <c:pt idx="11">
                  <c:v>30150165.82</c:v>
                </c:pt>
                <c:pt idx="13">
                  <c:v>215721.99</c:v>
                </c:pt>
                <c:pt idx="14">
                  <c:v>274290</c:v>
                </c:pt>
                <c:pt idx="15">
                  <c:v>3738407.5</c:v>
                </c:pt>
                <c:pt idx="16">
                  <c:v>26830</c:v>
                </c:pt>
                <c:pt idx="17">
                  <c:v>36878051.870000005</c:v>
                </c:pt>
                <c:pt idx="18">
                  <c:v>8405</c:v>
                </c:pt>
                <c:pt idx="19">
                  <c:v>10385006</c:v>
                </c:pt>
                <c:pt idx="20">
                  <c:v>17199625.009999998</c:v>
                </c:pt>
                <c:pt idx="24">
                  <c:v>294250</c:v>
                </c:pt>
                <c:pt idx="25">
                  <c:v>2314915.9900000002</c:v>
                </c:pt>
              </c:numCache>
            </c:numRef>
          </c:val>
          <c:extLst>
            <c:ext xmlns:c16="http://schemas.microsoft.com/office/drawing/2014/chart" uri="{C3380CC4-5D6E-409C-BE32-E72D297353CC}">
              <c16:uniqueId val="{0000004D-FD24-4778-88E1-2768BF3CA74F}"/>
            </c:ext>
          </c:extLst>
        </c:ser>
        <c:ser>
          <c:idx val="12"/>
          <c:order val="12"/>
          <c:tx>
            <c:strRef>
              <c:f>'Product Pivot.'!$N$3:$N$5</c:f>
              <c:strCache>
                <c:ptCount val="1"/>
                <c:pt idx="0">
                  <c:v>22 - Sum of making_revenue</c:v>
                </c:pt>
              </c:strCache>
            </c:strRef>
          </c:tx>
          <c:spPr>
            <a:solidFill>
              <a:schemeClr val="accent1">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Pivot.'!$N$6:$N$32</c:f>
              <c:numCache>
                <c:formatCode>General</c:formatCode>
                <c:ptCount val="26"/>
                <c:pt idx="1">
                  <c:v>64369.380000000019</c:v>
                </c:pt>
                <c:pt idx="3">
                  <c:v>376307.05000000022</c:v>
                </c:pt>
                <c:pt idx="4">
                  <c:v>107375.03999999989</c:v>
                </c:pt>
                <c:pt idx="5">
                  <c:v>3624055.7500000126</c:v>
                </c:pt>
                <c:pt idx="6">
                  <c:v>13837.57</c:v>
                </c:pt>
                <c:pt idx="7">
                  <c:v>98181.809999999983</c:v>
                </c:pt>
                <c:pt idx="8">
                  <c:v>5804270.4400000414</c:v>
                </c:pt>
                <c:pt idx="9">
                  <c:v>9471.9599999999973</c:v>
                </c:pt>
                <c:pt idx="10">
                  <c:v>266709.59000000026</c:v>
                </c:pt>
                <c:pt idx="11">
                  <c:v>4816060.4999999739</c:v>
                </c:pt>
                <c:pt idx="13">
                  <c:v>40082.01</c:v>
                </c:pt>
                <c:pt idx="14">
                  <c:v>35517.509999999995</c:v>
                </c:pt>
                <c:pt idx="15">
                  <c:v>684465.09999999835</c:v>
                </c:pt>
                <c:pt idx="16">
                  <c:v>8005.32</c:v>
                </c:pt>
                <c:pt idx="17">
                  <c:v>4521238.9600000139</c:v>
                </c:pt>
                <c:pt idx="18">
                  <c:v>3718.4999999999995</c:v>
                </c:pt>
                <c:pt idx="19">
                  <c:v>1485045.8200000038</c:v>
                </c:pt>
                <c:pt idx="20">
                  <c:v>3168000.0600000168</c:v>
                </c:pt>
                <c:pt idx="24">
                  <c:v>35189.839999999997</c:v>
                </c:pt>
                <c:pt idx="25">
                  <c:v>446811.28000000067</c:v>
                </c:pt>
              </c:numCache>
            </c:numRef>
          </c:val>
          <c:extLst>
            <c:ext xmlns:c16="http://schemas.microsoft.com/office/drawing/2014/chart" uri="{C3380CC4-5D6E-409C-BE32-E72D297353CC}">
              <c16:uniqueId val="{0000004E-FD24-4778-88E1-2768BF3CA74F}"/>
            </c:ext>
          </c:extLst>
        </c:ser>
        <c:ser>
          <c:idx val="13"/>
          <c:order val="13"/>
          <c:tx>
            <c:strRef>
              <c:f>'Product Pivot.'!$O$3:$O$5</c:f>
              <c:strCache>
                <c:ptCount val="1"/>
                <c:pt idx="0">
                  <c:v>22 - Sum of avg_metal_rate</c:v>
                </c:pt>
              </c:strCache>
            </c:strRef>
          </c:tx>
          <c:spPr>
            <a:solidFill>
              <a:schemeClr val="accent2">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Pivot.'!$O$6:$O$32</c:f>
              <c:numCache>
                <c:formatCode>General</c:formatCode>
                <c:ptCount val="26"/>
                <c:pt idx="1">
                  <c:v>406.24414634146399</c:v>
                </c:pt>
                <c:pt idx="3">
                  <c:v>388.74512024896273</c:v>
                </c:pt>
                <c:pt idx="4">
                  <c:v>406.51517095541431</c:v>
                </c:pt>
                <c:pt idx="5">
                  <c:v>392.75499644618657</c:v>
                </c:pt>
                <c:pt idx="6">
                  <c:v>408.26903589743591</c:v>
                </c:pt>
                <c:pt idx="7">
                  <c:v>372.68282904761912</c:v>
                </c:pt>
                <c:pt idx="8">
                  <c:v>393.21335193289286</c:v>
                </c:pt>
                <c:pt idx="9">
                  <c:v>386.27904761904767</c:v>
                </c:pt>
                <c:pt idx="10">
                  <c:v>398.14219330943894</c:v>
                </c:pt>
                <c:pt idx="11">
                  <c:v>394.88952559004241</c:v>
                </c:pt>
                <c:pt idx="13">
                  <c:v>433.32608695652181</c:v>
                </c:pt>
                <c:pt idx="14">
                  <c:v>430.04763300000002</c:v>
                </c:pt>
                <c:pt idx="15">
                  <c:v>395.20688410767752</c:v>
                </c:pt>
                <c:pt idx="16">
                  <c:v>385.11364761904764</c:v>
                </c:pt>
                <c:pt idx="17">
                  <c:v>397.9716763159081</c:v>
                </c:pt>
                <c:pt idx="18">
                  <c:v>478.10315789473691</c:v>
                </c:pt>
                <c:pt idx="19">
                  <c:v>392.8557042821796</c:v>
                </c:pt>
                <c:pt idx="20">
                  <c:v>397.29003078270728</c:v>
                </c:pt>
                <c:pt idx="24">
                  <c:v>413.59566511627901</c:v>
                </c:pt>
                <c:pt idx="25">
                  <c:v>407.73190272727248</c:v>
                </c:pt>
              </c:numCache>
            </c:numRef>
          </c:val>
          <c:extLst>
            <c:ext xmlns:c16="http://schemas.microsoft.com/office/drawing/2014/chart" uri="{C3380CC4-5D6E-409C-BE32-E72D297353CC}">
              <c16:uniqueId val="{0000004F-FD24-4778-88E1-2768BF3CA74F}"/>
            </c:ext>
          </c:extLst>
        </c:ser>
        <c:ser>
          <c:idx val="14"/>
          <c:order val="14"/>
          <c:tx>
            <c:strRef>
              <c:f>'Product Pivot.'!$P$3:$P$5</c:f>
              <c:strCache>
                <c:ptCount val="1"/>
                <c:pt idx="0">
                  <c:v>22 - Sum of transaction_count</c:v>
                </c:pt>
              </c:strCache>
            </c:strRef>
          </c:tx>
          <c:spPr>
            <a:solidFill>
              <a:schemeClr val="accent3">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Pivot.'!$P$6:$P$32</c:f>
              <c:numCache>
                <c:formatCode>General</c:formatCode>
                <c:ptCount val="26"/>
                <c:pt idx="1">
                  <c:v>317</c:v>
                </c:pt>
                <c:pt idx="3">
                  <c:v>520</c:v>
                </c:pt>
                <c:pt idx="4">
                  <c:v>231</c:v>
                </c:pt>
                <c:pt idx="5">
                  <c:v>3495</c:v>
                </c:pt>
                <c:pt idx="6">
                  <c:v>39</c:v>
                </c:pt>
                <c:pt idx="7">
                  <c:v>84</c:v>
                </c:pt>
                <c:pt idx="8">
                  <c:v>12400</c:v>
                </c:pt>
                <c:pt idx="9">
                  <c:v>21</c:v>
                </c:pt>
                <c:pt idx="10">
                  <c:v>1612</c:v>
                </c:pt>
                <c:pt idx="11">
                  <c:v>15110</c:v>
                </c:pt>
                <c:pt idx="13">
                  <c:v>21</c:v>
                </c:pt>
                <c:pt idx="14">
                  <c:v>39</c:v>
                </c:pt>
                <c:pt idx="15">
                  <c:v>2875</c:v>
                </c:pt>
                <c:pt idx="16">
                  <c:v>41</c:v>
                </c:pt>
                <c:pt idx="17">
                  <c:v>4447</c:v>
                </c:pt>
                <c:pt idx="18">
                  <c:v>17</c:v>
                </c:pt>
                <c:pt idx="19">
                  <c:v>3078</c:v>
                </c:pt>
                <c:pt idx="20">
                  <c:v>11412</c:v>
                </c:pt>
                <c:pt idx="24">
                  <c:v>84</c:v>
                </c:pt>
                <c:pt idx="25">
                  <c:v>1109</c:v>
                </c:pt>
              </c:numCache>
            </c:numRef>
          </c:val>
          <c:extLst>
            <c:ext xmlns:c16="http://schemas.microsoft.com/office/drawing/2014/chart" uri="{C3380CC4-5D6E-409C-BE32-E72D297353CC}">
              <c16:uniqueId val="{00000050-FD24-4778-88E1-2768BF3CA74F}"/>
            </c:ext>
          </c:extLst>
        </c:ser>
        <c:ser>
          <c:idx val="15"/>
          <c:order val="15"/>
          <c:tx>
            <c:strRef>
              <c:f>'Product Pivot.'!$Q$3:$Q$5</c:f>
              <c:strCache>
                <c:ptCount val="1"/>
                <c:pt idx="0">
                  <c:v>24 - Sum of weight_sold</c:v>
                </c:pt>
              </c:strCache>
            </c:strRef>
          </c:tx>
          <c:spPr>
            <a:solidFill>
              <a:schemeClr val="accent4">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Pivot.'!$Q$6:$Q$32</c:f>
              <c:numCache>
                <c:formatCode>General</c:formatCode>
                <c:ptCount val="26"/>
                <c:pt idx="2">
                  <c:v>799</c:v>
                </c:pt>
                <c:pt idx="12">
                  <c:v>223254.59200000524</c:v>
                </c:pt>
              </c:numCache>
            </c:numRef>
          </c:val>
          <c:extLst>
            <c:ext xmlns:c16="http://schemas.microsoft.com/office/drawing/2014/chart" uri="{C3380CC4-5D6E-409C-BE32-E72D297353CC}">
              <c16:uniqueId val="{00000001-337F-4F07-A14D-20914BAF6272}"/>
            </c:ext>
          </c:extLst>
        </c:ser>
        <c:ser>
          <c:idx val="16"/>
          <c:order val="16"/>
          <c:tx>
            <c:strRef>
              <c:f>'Product Pivot.'!$R$3:$R$5</c:f>
              <c:strCache>
                <c:ptCount val="1"/>
                <c:pt idx="0">
                  <c:v>24 - Sum of revenue</c:v>
                </c:pt>
              </c:strCache>
            </c:strRef>
          </c:tx>
          <c:spPr>
            <a:solidFill>
              <a:schemeClr val="accent5">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Pivot.'!$R$6:$R$32</c:f>
              <c:numCache>
                <c:formatCode>General</c:formatCode>
                <c:ptCount val="26"/>
                <c:pt idx="2">
                  <c:v>320565</c:v>
                </c:pt>
                <c:pt idx="12">
                  <c:v>100479453.07999989</c:v>
                </c:pt>
              </c:numCache>
            </c:numRef>
          </c:val>
          <c:extLst>
            <c:ext xmlns:c16="http://schemas.microsoft.com/office/drawing/2014/chart" uri="{C3380CC4-5D6E-409C-BE32-E72D297353CC}">
              <c16:uniqueId val="{00000002-337F-4F07-A14D-20914BAF6272}"/>
            </c:ext>
          </c:extLst>
        </c:ser>
        <c:ser>
          <c:idx val="17"/>
          <c:order val="17"/>
          <c:tx>
            <c:strRef>
              <c:f>'Product Pivot.'!$S$3:$S$5</c:f>
              <c:strCache>
                <c:ptCount val="1"/>
                <c:pt idx="0">
                  <c:v>24 - Sum of making_revenue</c:v>
                </c:pt>
              </c:strCache>
            </c:strRef>
          </c:tx>
          <c:spPr>
            <a:solidFill>
              <a:schemeClr val="accent6">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Pivot.'!$S$6:$S$32</c:f>
              <c:numCache>
                <c:formatCode>General</c:formatCode>
                <c:ptCount val="26"/>
                <c:pt idx="2">
                  <c:v>3499.08</c:v>
                </c:pt>
                <c:pt idx="12">
                  <c:v>2565085.7300000112</c:v>
                </c:pt>
              </c:numCache>
            </c:numRef>
          </c:val>
          <c:extLst>
            <c:ext xmlns:c16="http://schemas.microsoft.com/office/drawing/2014/chart" uri="{C3380CC4-5D6E-409C-BE32-E72D297353CC}">
              <c16:uniqueId val="{00000003-337F-4F07-A14D-20914BAF6272}"/>
            </c:ext>
          </c:extLst>
        </c:ser>
        <c:ser>
          <c:idx val="18"/>
          <c:order val="18"/>
          <c:tx>
            <c:strRef>
              <c:f>'Product Pivot.'!$T$3:$T$5</c:f>
              <c:strCache>
                <c:ptCount val="1"/>
                <c:pt idx="0">
                  <c:v>24 - Sum of avg_metal_rate</c:v>
                </c:pt>
              </c:strCache>
            </c:strRef>
          </c:tx>
          <c:spPr>
            <a:solidFill>
              <a:schemeClr val="accent1">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Pivot.'!$T$6:$T$32</c:f>
              <c:numCache>
                <c:formatCode>General</c:formatCode>
                <c:ptCount val="26"/>
                <c:pt idx="2">
                  <c:v>408.125</c:v>
                </c:pt>
                <c:pt idx="12">
                  <c:v>440.77292352349076</c:v>
                </c:pt>
              </c:numCache>
            </c:numRef>
          </c:val>
          <c:extLst>
            <c:ext xmlns:c16="http://schemas.microsoft.com/office/drawing/2014/chart" uri="{C3380CC4-5D6E-409C-BE32-E72D297353CC}">
              <c16:uniqueId val="{00000004-337F-4F07-A14D-20914BAF6272}"/>
            </c:ext>
          </c:extLst>
        </c:ser>
        <c:ser>
          <c:idx val="19"/>
          <c:order val="19"/>
          <c:tx>
            <c:strRef>
              <c:f>'Product Pivot.'!$U$3:$U$5</c:f>
              <c:strCache>
                <c:ptCount val="1"/>
                <c:pt idx="0">
                  <c:v>24 - Sum of transaction_count</c:v>
                </c:pt>
              </c:strCache>
            </c:strRef>
          </c:tx>
          <c:spPr>
            <a:solidFill>
              <a:schemeClr val="accent2">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Pivot.'!$U$6:$U$32</c:f>
              <c:numCache>
                <c:formatCode>General</c:formatCode>
                <c:ptCount val="26"/>
                <c:pt idx="2">
                  <c:v>16</c:v>
                </c:pt>
                <c:pt idx="12">
                  <c:v>8869</c:v>
                </c:pt>
              </c:numCache>
            </c:numRef>
          </c:val>
          <c:extLst>
            <c:ext xmlns:c16="http://schemas.microsoft.com/office/drawing/2014/chart" uri="{C3380CC4-5D6E-409C-BE32-E72D297353CC}">
              <c16:uniqueId val="{00000005-337F-4F07-A14D-20914BAF6272}"/>
            </c:ext>
          </c:extLst>
        </c:ser>
        <c:ser>
          <c:idx val="20"/>
          <c:order val="20"/>
          <c:tx>
            <c:strRef>
              <c:f>'Product Pivot.'!$V$3:$V$5</c:f>
              <c:strCache>
                <c:ptCount val="1"/>
                <c:pt idx="0">
                  <c:v>SILVER - Sum of weight_sold</c:v>
                </c:pt>
              </c:strCache>
            </c:strRef>
          </c:tx>
          <c:spPr>
            <a:solidFill>
              <a:schemeClr val="accent3">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Pivot.'!$V$6:$V$32</c:f>
              <c:numCache>
                <c:formatCode>General</c:formatCode>
                <c:ptCount val="26"/>
                <c:pt idx="21">
                  <c:v>933738.5</c:v>
                </c:pt>
                <c:pt idx="22">
                  <c:v>767.70000000000016</c:v>
                </c:pt>
                <c:pt idx="23">
                  <c:v>794503.79999999958</c:v>
                </c:pt>
              </c:numCache>
            </c:numRef>
          </c:val>
          <c:extLst>
            <c:ext xmlns:c16="http://schemas.microsoft.com/office/drawing/2014/chart" uri="{C3380CC4-5D6E-409C-BE32-E72D297353CC}">
              <c16:uniqueId val="{00000006-337F-4F07-A14D-20914BAF6272}"/>
            </c:ext>
          </c:extLst>
        </c:ser>
        <c:ser>
          <c:idx val="21"/>
          <c:order val="21"/>
          <c:tx>
            <c:strRef>
              <c:f>'Product Pivot.'!$W$3:$W$5</c:f>
              <c:strCache>
                <c:ptCount val="1"/>
                <c:pt idx="0">
                  <c:v>SILVER - Sum of revenue</c:v>
                </c:pt>
              </c:strCache>
            </c:strRef>
          </c:tx>
          <c:spPr>
            <a:solidFill>
              <a:schemeClr val="accent4">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Pivot.'!$W$6:$W$32</c:f>
              <c:numCache>
                <c:formatCode>General</c:formatCode>
                <c:ptCount val="26"/>
                <c:pt idx="21">
                  <c:v>10179776.890000001</c:v>
                </c:pt>
                <c:pt idx="22">
                  <c:v>9832.49</c:v>
                </c:pt>
                <c:pt idx="23">
                  <c:v>9354646.6400000025</c:v>
                </c:pt>
              </c:numCache>
            </c:numRef>
          </c:val>
          <c:extLst>
            <c:ext xmlns:c16="http://schemas.microsoft.com/office/drawing/2014/chart" uri="{C3380CC4-5D6E-409C-BE32-E72D297353CC}">
              <c16:uniqueId val="{00000007-337F-4F07-A14D-20914BAF6272}"/>
            </c:ext>
          </c:extLst>
        </c:ser>
        <c:ser>
          <c:idx val="22"/>
          <c:order val="22"/>
          <c:tx>
            <c:strRef>
              <c:f>'Product Pivot.'!$X$3:$X$5</c:f>
              <c:strCache>
                <c:ptCount val="1"/>
                <c:pt idx="0">
                  <c:v>SILVER - Sum of making_revenue</c:v>
                </c:pt>
              </c:strCache>
            </c:strRef>
          </c:tx>
          <c:spPr>
            <a:solidFill>
              <a:schemeClr val="accent5">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Pivot.'!$X$6:$X$32</c:f>
              <c:numCache>
                <c:formatCode>General</c:formatCode>
                <c:ptCount val="26"/>
                <c:pt idx="21">
                  <c:v>824856.17999999889</c:v>
                </c:pt>
                <c:pt idx="22">
                  <c:v>4884.1799999999994</c:v>
                </c:pt>
                <c:pt idx="23">
                  <c:v>564536.13999999978</c:v>
                </c:pt>
              </c:numCache>
            </c:numRef>
          </c:val>
          <c:extLst>
            <c:ext xmlns:c16="http://schemas.microsoft.com/office/drawing/2014/chart" uri="{C3380CC4-5D6E-409C-BE32-E72D297353CC}">
              <c16:uniqueId val="{00000008-337F-4F07-A14D-20914BAF6272}"/>
            </c:ext>
          </c:extLst>
        </c:ser>
        <c:ser>
          <c:idx val="23"/>
          <c:order val="23"/>
          <c:tx>
            <c:strRef>
              <c:f>'Product Pivot.'!$Y$3:$Y$5</c:f>
              <c:strCache>
                <c:ptCount val="1"/>
                <c:pt idx="0">
                  <c:v>SILVER - Sum of avg_metal_rate</c:v>
                </c:pt>
              </c:strCache>
            </c:strRef>
          </c:tx>
          <c:spPr>
            <a:solidFill>
              <a:schemeClr val="accent6">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Pivot.'!$Y$6:$Y$32</c:f>
              <c:numCache>
                <c:formatCode>General</c:formatCode>
                <c:ptCount val="26"/>
                <c:pt idx="21">
                  <c:v>8.3827708978328204</c:v>
                </c:pt>
                <c:pt idx="22">
                  <c:v>6.5500000000000007</c:v>
                </c:pt>
                <c:pt idx="23">
                  <c:v>10.110878489326728</c:v>
                </c:pt>
              </c:numCache>
            </c:numRef>
          </c:val>
          <c:extLst>
            <c:ext xmlns:c16="http://schemas.microsoft.com/office/drawing/2014/chart" uri="{C3380CC4-5D6E-409C-BE32-E72D297353CC}">
              <c16:uniqueId val="{00000009-337F-4F07-A14D-20914BAF6272}"/>
            </c:ext>
          </c:extLst>
        </c:ser>
        <c:ser>
          <c:idx val="24"/>
          <c:order val="24"/>
          <c:tx>
            <c:strRef>
              <c:f>'Product Pivot.'!$Z$3:$Z$5</c:f>
              <c:strCache>
                <c:ptCount val="1"/>
                <c:pt idx="0">
                  <c:v>SILVER - Sum of transaction_count</c:v>
                </c:pt>
              </c:strCache>
            </c:strRef>
          </c:tx>
          <c:spPr>
            <a:solidFill>
              <a:schemeClr val="accent1">
                <a:lumMod val="60000"/>
                <a:lumOff val="4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Pivot.'!$Z$6:$Z$32</c:f>
              <c:numCache>
                <c:formatCode>General</c:formatCode>
                <c:ptCount val="26"/>
                <c:pt idx="21">
                  <c:v>666</c:v>
                </c:pt>
                <c:pt idx="22">
                  <c:v>12</c:v>
                </c:pt>
                <c:pt idx="23">
                  <c:v>700</c:v>
                </c:pt>
              </c:numCache>
            </c:numRef>
          </c:val>
          <c:extLst>
            <c:ext xmlns:c16="http://schemas.microsoft.com/office/drawing/2014/chart" uri="{C3380CC4-5D6E-409C-BE32-E72D297353CC}">
              <c16:uniqueId val="{0000000A-337F-4F07-A14D-20914BAF6272}"/>
            </c:ext>
          </c:extLst>
        </c:ser>
        <c:dLbls>
          <c:showLegendKey val="0"/>
          <c:showVal val="0"/>
          <c:showCatName val="0"/>
          <c:showSerName val="0"/>
          <c:showPercent val="0"/>
          <c:showBubbleSize val="0"/>
        </c:dLbls>
        <c:gapWidth val="182"/>
        <c:axId val="10998751"/>
        <c:axId val="21019231"/>
      </c:barChart>
      <c:catAx>
        <c:axId val="10998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9231"/>
        <c:crosses val="autoZero"/>
        <c:auto val="1"/>
        <c:lblAlgn val="ctr"/>
        <c:lblOffset val="100"/>
        <c:noMultiLvlLbl val="0"/>
      </c:catAx>
      <c:valAx>
        <c:axId val="2101923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i="0" u="none" strike="noStrike" baseline="0"/>
                  <a:t> Revenue by Item Type</a:t>
                </a:r>
                <a:endParaRPr lang="en-US" b="1"/>
              </a:p>
            </c:rich>
          </c:tx>
          <c:layout>
            <c:manualLayout>
              <c:xMode val="edge"/>
              <c:yMode val="edge"/>
              <c:x val="0.33374998415053186"/>
              <c:y val="5.173506252894858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2 – Product &amp; Karat Analysis.xlsx]Product Pivot.!PivotTable1</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Karat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pivotFmt>
      <c:pivotFmt>
        <c:idx val="1346"/>
        <c:spPr>
          <a:solidFill>
            <a:schemeClr val="accent1"/>
          </a:solidFill>
          <a:ln w="19050">
            <a:solidFill>
              <a:schemeClr val="lt1"/>
            </a:solidFill>
          </a:ln>
          <a:effectLst/>
        </c:spPr>
      </c:pivotFmt>
      <c:pivotFmt>
        <c:idx val="1347"/>
        <c:spPr>
          <a:solidFill>
            <a:schemeClr val="accent1"/>
          </a:solidFill>
          <a:ln w="19050">
            <a:solidFill>
              <a:schemeClr val="lt1"/>
            </a:solidFill>
          </a:ln>
          <a:effectLst/>
        </c:spPr>
      </c:pivotFmt>
      <c:pivotFmt>
        <c:idx val="13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9"/>
        <c:spPr>
          <a:solidFill>
            <a:schemeClr val="accent1"/>
          </a:solidFill>
          <a:ln w="19050">
            <a:solidFill>
              <a:schemeClr val="lt1"/>
            </a:solidFill>
          </a:ln>
          <a:effectLst/>
        </c:spPr>
      </c:pivotFmt>
      <c:pivotFmt>
        <c:idx val="1350"/>
        <c:spPr>
          <a:solidFill>
            <a:schemeClr val="accent1"/>
          </a:solidFill>
          <a:ln w="19050">
            <a:solidFill>
              <a:schemeClr val="lt1"/>
            </a:solidFill>
          </a:ln>
          <a:effectLst/>
        </c:spPr>
      </c:pivotFmt>
      <c:pivotFmt>
        <c:idx val="1351"/>
        <c:spPr>
          <a:solidFill>
            <a:schemeClr val="accent1"/>
          </a:solidFill>
          <a:ln w="19050">
            <a:solidFill>
              <a:schemeClr val="lt1"/>
            </a:solidFill>
          </a:ln>
          <a:effectLst/>
        </c:spPr>
      </c:pivotFmt>
      <c:pivotFmt>
        <c:idx val="1352"/>
        <c:spPr>
          <a:solidFill>
            <a:schemeClr val="accent1"/>
          </a:solidFill>
          <a:ln w="19050">
            <a:solidFill>
              <a:schemeClr val="lt1"/>
            </a:solidFill>
          </a:ln>
          <a:effectLst/>
        </c:spPr>
      </c:pivotFmt>
      <c:pivotFmt>
        <c:idx val="1353"/>
        <c:spPr>
          <a:solidFill>
            <a:schemeClr val="accent1"/>
          </a:solidFill>
          <a:ln w="19050">
            <a:solidFill>
              <a:schemeClr val="lt1"/>
            </a:solidFill>
          </a:ln>
          <a:effectLst/>
        </c:spPr>
      </c:pivotFmt>
      <c:pivotFmt>
        <c:idx val="1354"/>
        <c:spPr>
          <a:solidFill>
            <a:schemeClr val="accent1"/>
          </a:solidFill>
          <a:ln w="19050">
            <a:solidFill>
              <a:schemeClr val="lt1"/>
            </a:solidFill>
          </a:ln>
          <a:effectLst/>
        </c:spPr>
      </c:pivotFmt>
      <c:pivotFmt>
        <c:idx val="1355"/>
        <c:spPr>
          <a:solidFill>
            <a:schemeClr val="accent1"/>
          </a:solidFill>
          <a:ln w="19050">
            <a:solidFill>
              <a:schemeClr val="lt1"/>
            </a:solidFill>
          </a:ln>
          <a:effectLst/>
        </c:spPr>
      </c:pivotFmt>
      <c:pivotFmt>
        <c:idx val="1356"/>
        <c:spPr>
          <a:solidFill>
            <a:schemeClr val="accent1"/>
          </a:solidFill>
          <a:ln w="19050">
            <a:solidFill>
              <a:schemeClr val="lt1"/>
            </a:solidFill>
          </a:ln>
          <a:effectLst/>
        </c:spPr>
      </c:pivotFmt>
      <c:pivotFmt>
        <c:idx val="1357"/>
        <c:spPr>
          <a:solidFill>
            <a:schemeClr val="accent1"/>
          </a:solidFill>
          <a:ln w="19050">
            <a:solidFill>
              <a:schemeClr val="lt1"/>
            </a:solidFill>
          </a:ln>
          <a:effectLst/>
        </c:spPr>
      </c:pivotFmt>
      <c:pivotFmt>
        <c:idx val="1358"/>
        <c:spPr>
          <a:solidFill>
            <a:schemeClr val="accent1"/>
          </a:solidFill>
          <a:ln w="19050">
            <a:solidFill>
              <a:schemeClr val="lt1"/>
            </a:solidFill>
          </a:ln>
          <a:effectLst/>
        </c:spPr>
      </c:pivotFmt>
      <c:pivotFmt>
        <c:idx val="1359"/>
        <c:spPr>
          <a:solidFill>
            <a:schemeClr val="accent1"/>
          </a:solidFill>
          <a:ln w="19050">
            <a:solidFill>
              <a:schemeClr val="lt1"/>
            </a:solidFill>
          </a:ln>
          <a:effectLst/>
        </c:spPr>
      </c:pivotFmt>
      <c:pivotFmt>
        <c:idx val="1360"/>
        <c:spPr>
          <a:solidFill>
            <a:schemeClr val="accent1"/>
          </a:solidFill>
          <a:ln w="19050">
            <a:solidFill>
              <a:schemeClr val="lt1"/>
            </a:solidFill>
          </a:ln>
          <a:effectLst/>
        </c:spPr>
      </c:pivotFmt>
      <c:pivotFmt>
        <c:idx val="1361"/>
        <c:spPr>
          <a:solidFill>
            <a:schemeClr val="accent1"/>
          </a:solidFill>
          <a:ln w="19050">
            <a:solidFill>
              <a:schemeClr val="lt1"/>
            </a:solidFill>
          </a:ln>
          <a:effectLst/>
        </c:spPr>
      </c:pivotFmt>
      <c:pivotFmt>
        <c:idx val="1362"/>
        <c:spPr>
          <a:solidFill>
            <a:schemeClr val="accent1"/>
          </a:solidFill>
          <a:ln w="19050">
            <a:solidFill>
              <a:schemeClr val="lt1"/>
            </a:solidFill>
          </a:ln>
          <a:effectLst/>
        </c:spPr>
      </c:pivotFmt>
      <c:pivotFmt>
        <c:idx val="1363"/>
        <c:spPr>
          <a:solidFill>
            <a:schemeClr val="accent1"/>
          </a:solidFill>
          <a:ln w="19050">
            <a:solidFill>
              <a:schemeClr val="lt1"/>
            </a:solidFill>
          </a:ln>
          <a:effectLst/>
        </c:spPr>
      </c:pivotFmt>
      <c:pivotFmt>
        <c:idx val="1364"/>
        <c:spPr>
          <a:solidFill>
            <a:schemeClr val="accent1"/>
          </a:solidFill>
          <a:ln w="19050">
            <a:solidFill>
              <a:schemeClr val="lt1"/>
            </a:solidFill>
          </a:ln>
          <a:effectLst/>
        </c:spPr>
      </c:pivotFmt>
      <c:pivotFmt>
        <c:idx val="1365"/>
        <c:spPr>
          <a:solidFill>
            <a:schemeClr val="accent1"/>
          </a:solidFill>
          <a:ln w="19050">
            <a:solidFill>
              <a:schemeClr val="lt1"/>
            </a:solidFill>
          </a:ln>
          <a:effectLst/>
        </c:spPr>
      </c:pivotFmt>
      <c:pivotFmt>
        <c:idx val="1366"/>
        <c:spPr>
          <a:solidFill>
            <a:schemeClr val="accent1"/>
          </a:solidFill>
          <a:ln w="19050">
            <a:solidFill>
              <a:schemeClr val="lt1"/>
            </a:solidFill>
          </a:ln>
          <a:effectLst/>
        </c:spPr>
      </c:pivotFmt>
      <c:pivotFmt>
        <c:idx val="1367"/>
        <c:spPr>
          <a:solidFill>
            <a:schemeClr val="accent1"/>
          </a:solidFill>
          <a:ln w="19050">
            <a:solidFill>
              <a:schemeClr val="lt1"/>
            </a:solidFill>
          </a:ln>
          <a:effectLst/>
        </c:spPr>
      </c:pivotFmt>
      <c:pivotFmt>
        <c:idx val="1368"/>
        <c:spPr>
          <a:solidFill>
            <a:schemeClr val="accent1"/>
          </a:solidFill>
          <a:ln w="19050">
            <a:solidFill>
              <a:schemeClr val="lt1"/>
            </a:solidFill>
          </a:ln>
          <a:effectLst/>
        </c:spPr>
      </c:pivotFmt>
      <c:pivotFmt>
        <c:idx val="1369"/>
        <c:spPr>
          <a:solidFill>
            <a:schemeClr val="accent1"/>
          </a:solidFill>
          <a:ln w="19050">
            <a:solidFill>
              <a:schemeClr val="lt1"/>
            </a:solidFill>
          </a:ln>
          <a:effectLst/>
        </c:spPr>
      </c:pivotFmt>
      <c:pivotFmt>
        <c:idx val="1370"/>
        <c:spPr>
          <a:solidFill>
            <a:schemeClr val="accent1"/>
          </a:solidFill>
          <a:ln w="19050">
            <a:solidFill>
              <a:schemeClr val="lt1"/>
            </a:solidFill>
          </a:ln>
          <a:effectLst/>
        </c:spPr>
      </c:pivotFmt>
      <c:pivotFmt>
        <c:idx val="1371"/>
        <c:spPr>
          <a:solidFill>
            <a:schemeClr val="accent1"/>
          </a:solidFill>
          <a:ln w="19050">
            <a:solidFill>
              <a:schemeClr val="lt1"/>
            </a:solidFill>
          </a:ln>
          <a:effectLst/>
        </c:spPr>
      </c:pivotFmt>
      <c:pivotFmt>
        <c:idx val="1372"/>
        <c:spPr>
          <a:solidFill>
            <a:schemeClr val="accent1"/>
          </a:solidFill>
          <a:ln w="19050">
            <a:solidFill>
              <a:schemeClr val="lt1"/>
            </a:solidFill>
          </a:ln>
          <a:effectLst/>
        </c:spPr>
      </c:pivotFmt>
      <c:pivotFmt>
        <c:idx val="1373"/>
        <c:spPr>
          <a:solidFill>
            <a:schemeClr val="accent1"/>
          </a:solidFill>
          <a:ln w="19050">
            <a:solidFill>
              <a:schemeClr val="lt1"/>
            </a:solidFill>
          </a:ln>
          <a:effectLst/>
        </c:spPr>
      </c:pivotFmt>
      <c:pivotFmt>
        <c:idx val="1374"/>
        <c:spPr>
          <a:solidFill>
            <a:schemeClr val="accent1"/>
          </a:solidFill>
          <a:ln w="19050">
            <a:solidFill>
              <a:schemeClr val="lt1"/>
            </a:solidFill>
          </a:ln>
          <a:effectLst/>
        </c:spPr>
      </c:pivotFmt>
      <c:pivotFmt>
        <c:idx val="13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1"/>
        <c:spPr>
          <a:solidFill>
            <a:schemeClr val="accent1"/>
          </a:solidFill>
          <a:ln w="19050">
            <a:solidFill>
              <a:schemeClr val="lt1"/>
            </a:solidFill>
          </a:ln>
          <a:effectLst/>
        </c:spPr>
      </c:pivotFmt>
      <c:pivotFmt>
        <c:idx val="1442"/>
        <c:spPr>
          <a:solidFill>
            <a:schemeClr val="accent1"/>
          </a:solidFill>
          <a:ln w="19050">
            <a:solidFill>
              <a:schemeClr val="lt1"/>
            </a:solidFill>
          </a:ln>
          <a:effectLst/>
        </c:spPr>
      </c:pivotFmt>
      <c:pivotFmt>
        <c:idx val="1443"/>
        <c:spPr>
          <a:solidFill>
            <a:schemeClr val="accent1"/>
          </a:solidFill>
          <a:ln w="19050">
            <a:solidFill>
              <a:schemeClr val="lt1"/>
            </a:solidFill>
          </a:ln>
          <a:effectLst/>
        </c:spPr>
      </c:pivotFmt>
      <c:pivotFmt>
        <c:idx val="1444"/>
        <c:spPr>
          <a:solidFill>
            <a:schemeClr val="accent1"/>
          </a:solidFill>
          <a:ln w="19050">
            <a:solidFill>
              <a:schemeClr val="lt1"/>
            </a:solidFill>
          </a:ln>
          <a:effectLst/>
        </c:spPr>
      </c:pivotFmt>
      <c:pivotFmt>
        <c:idx val="1445"/>
        <c:spPr>
          <a:solidFill>
            <a:schemeClr val="accent1"/>
          </a:solidFill>
          <a:ln w="19050">
            <a:solidFill>
              <a:schemeClr val="lt1"/>
            </a:solidFill>
          </a:ln>
          <a:effectLst/>
        </c:spPr>
      </c:pivotFmt>
      <c:pivotFmt>
        <c:idx val="1446"/>
        <c:spPr>
          <a:solidFill>
            <a:schemeClr val="accent1"/>
          </a:solidFill>
          <a:ln w="19050">
            <a:solidFill>
              <a:schemeClr val="lt1"/>
            </a:solidFill>
          </a:ln>
          <a:effectLst/>
        </c:spPr>
      </c:pivotFmt>
      <c:pivotFmt>
        <c:idx val="1447"/>
        <c:spPr>
          <a:solidFill>
            <a:schemeClr val="accent1"/>
          </a:solidFill>
          <a:ln w="19050">
            <a:solidFill>
              <a:schemeClr val="lt1"/>
            </a:solidFill>
          </a:ln>
          <a:effectLst/>
        </c:spPr>
      </c:pivotFmt>
      <c:pivotFmt>
        <c:idx val="1448"/>
        <c:spPr>
          <a:solidFill>
            <a:schemeClr val="accent1"/>
          </a:solidFill>
          <a:ln w="19050">
            <a:solidFill>
              <a:schemeClr val="lt1"/>
            </a:solidFill>
          </a:ln>
          <a:effectLst/>
        </c:spPr>
      </c:pivotFmt>
      <c:pivotFmt>
        <c:idx val="1449"/>
        <c:spPr>
          <a:solidFill>
            <a:schemeClr val="accent1"/>
          </a:solidFill>
          <a:ln w="19050">
            <a:solidFill>
              <a:schemeClr val="lt1"/>
            </a:solidFill>
          </a:ln>
          <a:effectLst/>
        </c:spPr>
      </c:pivotFmt>
      <c:pivotFmt>
        <c:idx val="1450"/>
        <c:spPr>
          <a:solidFill>
            <a:schemeClr val="accent1"/>
          </a:solidFill>
          <a:ln w="19050">
            <a:solidFill>
              <a:schemeClr val="lt1"/>
            </a:solidFill>
          </a:ln>
          <a:effectLst/>
        </c:spPr>
      </c:pivotFmt>
      <c:pivotFmt>
        <c:idx val="1451"/>
        <c:spPr>
          <a:solidFill>
            <a:schemeClr val="accent1"/>
          </a:solidFill>
          <a:ln w="19050">
            <a:solidFill>
              <a:schemeClr val="lt1"/>
            </a:solidFill>
          </a:ln>
          <a:effectLst/>
        </c:spPr>
      </c:pivotFmt>
      <c:pivotFmt>
        <c:idx val="1452"/>
        <c:spPr>
          <a:solidFill>
            <a:schemeClr val="accent1"/>
          </a:solidFill>
          <a:ln w="19050">
            <a:solidFill>
              <a:schemeClr val="lt1"/>
            </a:solidFill>
          </a:ln>
          <a:effectLst/>
        </c:spPr>
      </c:pivotFmt>
      <c:pivotFmt>
        <c:idx val="1453"/>
        <c:spPr>
          <a:solidFill>
            <a:schemeClr val="accent1"/>
          </a:solidFill>
          <a:ln w="19050">
            <a:solidFill>
              <a:schemeClr val="lt1"/>
            </a:solidFill>
          </a:ln>
          <a:effectLst/>
        </c:spPr>
      </c:pivotFmt>
      <c:pivotFmt>
        <c:idx val="1454"/>
        <c:spPr>
          <a:solidFill>
            <a:schemeClr val="accent1"/>
          </a:solidFill>
          <a:ln w="19050">
            <a:solidFill>
              <a:schemeClr val="lt1"/>
            </a:solidFill>
          </a:ln>
          <a:effectLst/>
        </c:spPr>
      </c:pivotFmt>
      <c:pivotFmt>
        <c:idx val="1455"/>
        <c:spPr>
          <a:solidFill>
            <a:schemeClr val="accent1"/>
          </a:solidFill>
          <a:ln w="19050">
            <a:solidFill>
              <a:schemeClr val="lt1"/>
            </a:solidFill>
          </a:ln>
          <a:effectLst/>
        </c:spPr>
      </c:pivotFmt>
      <c:pivotFmt>
        <c:idx val="1456"/>
        <c:spPr>
          <a:solidFill>
            <a:schemeClr val="accent1"/>
          </a:solidFill>
          <a:ln w="19050">
            <a:solidFill>
              <a:schemeClr val="lt1"/>
            </a:solidFill>
          </a:ln>
          <a:effectLst/>
        </c:spPr>
      </c:pivotFmt>
      <c:pivotFmt>
        <c:idx val="1457"/>
        <c:spPr>
          <a:solidFill>
            <a:schemeClr val="accent1"/>
          </a:solidFill>
          <a:ln w="19050">
            <a:solidFill>
              <a:schemeClr val="lt1"/>
            </a:solidFill>
          </a:ln>
          <a:effectLst/>
        </c:spPr>
      </c:pivotFmt>
      <c:pivotFmt>
        <c:idx val="1458"/>
        <c:spPr>
          <a:solidFill>
            <a:schemeClr val="accent1"/>
          </a:solidFill>
          <a:ln w="19050">
            <a:solidFill>
              <a:schemeClr val="lt1"/>
            </a:solidFill>
          </a:ln>
          <a:effectLst/>
        </c:spPr>
      </c:pivotFmt>
      <c:pivotFmt>
        <c:idx val="1459"/>
        <c:spPr>
          <a:solidFill>
            <a:schemeClr val="accent1"/>
          </a:solidFill>
          <a:ln w="19050">
            <a:solidFill>
              <a:schemeClr val="lt1"/>
            </a:solidFill>
          </a:ln>
          <a:effectLst/>
        </c:spPr>
      </c:pivotFmt>
      <c:pivotFmt>
        <c:idx val="1460"/>
        <c:spPr>
          <a:solidFill>
            <a:schemeClr val="accent1"/>
          </a:solidFill>
          <a:ln w="19050">
            <a:solidFill>
              <a:schemeClr val="lt1"/>
            </a:solidFill>
          </a:ln>
          <a:effectLst/>
        </c:spPr>
      </c:pivotFmt>
      <c:pivotFmt>
        <c:idx val="1461"/>
        <c:spPr>
          <a:solidFill>
            <a:schemeClr val="accent1"/>
          </a:solidFill>
          <a:ln w="19050">
            <a:solidFill>
              <a:schemeClr val="lt1"/>
            </a:solidFill>
          </a:ln>
          <a:effectLst/>
        </c:spPr>
      </c:pivotFmt>
      <c:pivotFmt>
        <c:idx val="1462"/>
        <c:spPr>
          <a:solidFill>
            <a:schemeClr val="accent1"/>
          </a:solidFill>
          <a:ln w="19050">
            <a:solidFill>
              <a:schemeClr val="lt1"/>
            </a:solidFill>
          </a:ln>
          <a:effectLst/>
        </c:spPr>
      </c:pivotFmt>
      <c:pivotFmt>
        <c:idx val="1463"/>
        <c:spPr>
          <a:solidFill>
            <a:schemeClr val="accent1"/>
          </a:solidFill>
          <a:ln w="19050">
            <a:solidFill>
              <a:schemeClr val="lt1"/>
            </a:solidFill>
          </a:ln>
          <a:effectLst/>
        </c:spPr>
      </c:pivotFmt>
      <c:pivotFmt>
        <c:idx val="1464"/>
        <c:spPr>
          <a:solidFill>
            <a:schemeClr val="accent1"/>
          </a:solidFill>
          <a:ln w="19050">
            <a:solidFill>
              <a:schemeClr val="lt1"/>
            </a:solidFill>
          </a:ln>
          <a:effectLst/>
        </c:spPr>
      </c:pivotFmt>
      <c:pivotFmt>
        <c:idx val="1465"/>
        <c:spPr>
          <a:solidFill>
            <a:schemeClr val="accent1"/>
          </a:solidFill>
          <a:ln w="19050">
            <a:solidFill>
              <a:schemeClr val="lt1"/>
            </a:solidFill>
          </a:ln>
          <a:effectLst/>
        </c:spPr>
      </c:pivotFmt>
      <c:pivotFmt>
        <c:idx val="1466"/>
        <c:spPr>
          <a:solidFill>
            <a:schemeClr val="accent1"/>
          </a:solidFill>
          <a:ln w="19050">
            <a:solidFill>
              <a:schemeClr val="lt1"/>
            </a:solidFill>
          </a:ln>
          <a:effectLst/>
        </c:spPr>
      </c:pivotFmt>
      <c:pivotFmt>
        <c:idx val="14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8"/>
        <c:spPr>
          <a:solidFill>
            <a:schemeClr val="accent1"/>
          </a:solidFill>
          <a:ln w="19050">
            <a:solidFill>
              <a:schemeClr val="lt1"/>
            </a:solidFill>
          </a:ln>
          <a:effectLst/>
        </c:spPr>
      </c:pivotFmt>
      <c:pivotFmt>
        <c:idx val="1469"/>
        <c:spPr>
          <a:solidFill>
            <a:schemeClr val="accent1"/>
          </a:solidFill>
          <a:ln w="19050">
            <a:solidFill>
              <a:schemeClr val="lt1"/>
            </a:solidFill>
          </a:ln>
          <a:effectLst/>
        </c:spPr>
      </c:pivotFmt>
      <c:pivotFmt>
        <c:idx val="1470"/>
        <c:spPr>
          <a:solidFill>
            <a:schemeClr val="accent1"/>
          </a:solidFill>
          <a:ln w="19050">
            <a:solidFill>
              <a:schemeClr val="lt1"/>
            </a:solidFill>
          </a:ln>
          <a:effectLst/>
        </c:spPr>
      </c:pivotFmt>
      <c:pivotFmt>
        <c:idx val="1471"/>
        <c:spPr>
          <a:solidFill>
            <a:schemeClr val="accent1"/>
          </a:solidFill>
          <a:ln w="19050">
            <a:solidFill>
              <a:schemeClr val="lt1"/>
            </a:solidFill>
          </a:ln>
          <a:effectLst/>
        </c:spPr>
      </c:pivotFmt>
      <c:pivotFmt>
        <c:idx val="1472"/>
        <c:spPr>
          <a:solidFill>
            <a:schemeClr val="accent1"/>
          </a:solidFill>
          <a:ln w="19050">
            <a:solidFill>
              <a:schemeClr val="lt1"/>
            </a:solidFill>
          </a:ln>
          <a:effectLst/>
        </c:spPr>
      </c:pivotFmt>
      <c:pivotFmt>
        <c:idx val="1473"/>
        <c:spPr>
          <a:solidFill>
            <a:schemeClr val="accent1"/>
          </a:solidFill>
          <a:ln w="19050">
            <a:solidFill>
              <a:schemeClr val="lt1"/>
            </a:solidFill>
          </a:ln>
          <a:effectLst/>
        </c:spPr>
      </c:pivotFmt>
      <c:pivotFmt>
        <c:idx val="1474"/>
        <c:spPr>
          <a:solidFill>
            <a:schemeClr val="accent1"/>
          </a:solidFill>
          <a:ln w="19050">
            <a:solidFill>
              <a:schemeClr val="lt1"/>
            </a:solidFill>
          </a:ln>
          <a:effectLst/>
        </c:spPr>
      </c:pivotFmt>
      <c:pivotFmt>
        <c:idx val="1475"/>
        <c:spPr>
          <a:solidFill>
            <a:schemeClr val="accent1"/>
          </a:solidFill>
          <a:ln w="19050">
            <a:solidFill>
              <a:schemeClr val="lt1"/>
            </a:solidFill>
          </a:ln>
          <a:effectLst/>
        </c:spPr>
      </c:pivotFmt>
      <c:pivotFmt>
        <c:idx val="1476"/>
        <c:spPr>
          <a:solidFill>
            <a:schemeClr val="accent1"/>
          </a:solidFill>
          <a:ln w="19050">
            <a:solidFill>
              <a:schemeClr val="lt1"/>
            </a:solidFill>
          </a:ln>
          <a:effectLst/>
        </c:spPr>
      </c:pivotFmt>
      <c:pivotFmt>
        <c:idx val="1477"/>
        <c:spPr>
          <a:solidFill>
            <a:schemeClr val="accent1"/>
          </a:solidFill>
          <a:ln w="19050">
            <a:solidFill>
              <a:schemeClr val="lt1"/>
            </a:solidFill>
          </a:ln>
          <a:effectLst/>
        </c:spPr>
      </c:pivotFmt>
      <c:pivotFmt>
        <c:idx val="1478"/>
        <c:spPr>
          <a:solidFill>
            <a:schemeClr val="accent1"/>
          </a:solidFill>
          <a:ln w="19050">
            <a:solidFill>
              <a:schemeClr val="lt1"/>
            </a:solidFill>
          </a:ln>
          <a:effectLst/>
        </c:spPr>
      </c:pivotFmt>
      <c:pivotFmt>
        <c:idx val="1479"/>
        <c:spPr>
          <a:solidFill>
            <a:schemeClr val="accent1"/>
          </a:solidFill>
          <a:ln w="19050">
            <a:solidFill>
              <a:schemeClr val="lt1"/>
            </a:solidFill>
          </a:ln>
          <a:effectLst/>
        </c:spPr>
      </c:pivotFmt>
      <c:pivotFmt>
        <c:idx val="1480"/>
        <c:spPr>
          <a:solidFill>
            <a:schemeClr val="accent1"/>
          </a:solidFill>
          <a:ln w="19050">
            <a:solidFill>
              <a:schemeClr val="lt1"/>
            </a:solidFill>
          </a:ln>
          <a:effectLst/>
        </c:spPr>
      </c:pivotFmt>
      <c:pivotFmt>
        <c:idx val="1481"/>
        <c:spPr>
          <a:solidFill>
            <a:schemeClr val="accent1"/>
          </a:solidFill>
          <a:ln w="19050">
            <a:solidFill>
              <a:schemeClr val="lt1"/>
            </a:solidFill>
          </a:ln>
          <a:effectLst/>
        </c:spPr>
      </c:pivotFmt>
      <c:pivotFmt>
        <c:idx val="1482"/>
        <c:spPr>
          <a:solidFill>
            <a:schemeClr val="accent1"/>
          </a:solidFill>
          <a:ln w="19050">
            <a:solidFill>
              <a:schemeClr val="lt1"/>
            </a:solidFill>
          </a:ln>
          <a:effectLst/>
        </c:spPr>
      </c:pivotFmt>
      <c:pivotFmt>
        <c:idx val="1483"/>
        <c:spPr>
          <a:solidFill>
            <a:schemeClr val="accent1"/>
          </a:solidFill>
          <a:ln w="19050">
            <a:solidFill>
              <a:schemeClr val="lt1"/>
            </a:solidFill>
          </a:ln>
          <a:effectLst/>
        </c:spPr>
      </c:pivotFmt>
      <c:pivotFmt>
        <c:idx val="1484"/>
        <c:spPr>
          <a:solidFill>
            <a:schemeClr val="accent1"/>
          </a:solidFill>
          <a:ln w="19050">
            <a:solidFill>
              <a:schemeClr val="lt1"/>
            </a:solidFill>
          </a:ln>
          <a:effectLst/>
        </c:spPr>
      </c:pivotFmt>
      <c:pivotFmt>
        <c:idx val="1485"/>
        <c:spPr>
          <a:solidFill>
            <a:schemeClr val="accent1"/>
          </a:solidFill>
          <a:ln w="19050">
            <a:solidFill>
              <a:schemeClr val="lt1"/>
            </a:solidFill>
          </a:ln>
          <a:effectLst/>
        </c:spPr>
      </c:pivotFmt>
      <c:pivotFmt>
        <c:idx val="1486"/>
        <c:spPr>
          <a:solidFill>
            <a:schemeClr val="accent1"/>
          </a:solidFill>
          <a:ln w="19050">
            <a:solidFill>
              <a:schemeClr val="lt1"/>
            </a:solidFill>
          </a:ln>
          <a:effectLst/>
        </c:spPr>
      </c:pivotFmt>
      <c:pivotFmt>
        <c:idx val="1487"/>
        <c:spPr>
          <a:solidFill>
            <a:schemeClr val="accent1"/>
          </a:solidFill>
          <a:ln w="19050">
            <a:solidFill>
              <a:schemeClr val="lt1"/>
            </a:solidFill>
          </a:ln>
          <a:effectLst/>
        </c:spPr>
      </c:pivotFmt>
      <c:pivotFmt>
        <c:idx val="1488"/>
        <c:spPr>
          <a:solidFill>
            <a:schemeClr val="accent1"/>
          </a:solidFill>
          <a:ln w="19050">
            <a:solidFill>
              <a:schemeClr val="lt1"/>
            </a:solidFill>
          </a:ln>
          <a:effectLst/>
        </c:spPr>
      </c:pivotFmt>
      <c:pivotFmt>
        <c:idx val="1489"/>
        <c:spPr>
          <a:solidFill>
            <a:schemeClr val="accent1"/>
          </a:solidFill>
          <a:ln w="19050">
            <a:solidFill>
              <a:schemeClr val="lt1"/>
            </a:solidFill>
          </a:ln>
          <a:effectLst/>
        </c:spPr>
      </c:pivotFmt>
      <c:pivotFmt>
        <c:idx val="1490"/>
        <c:spPr>
          <a:solidFill>
            <a:schemeClr val="accent1"/>
          </a:solidFill>
          <a:ln w="19050">
            <a:solidFill>
              <a:schemeClr val="lt1"/>
            </a:solidFill>
          </a:ln>
          <a:effectLst/>
        </c:spPr>
      </c:pivotFmt>
      <c:pivotFmt>
        <c:idx val="1491"/>
        <c:spPr>
          <a:solidFill>
            <a:schemeClr val="accent1"/>
          </a:solidFill>
          <a:ln w="19050">
            <a:solidFill>
              <a:schemeClr val="lt1"/>
            </a:solidFill>
          </a:ln>
          <a:effectLst/>
        </c:spPr>
      </c:pivotFmt>
      <c:pivotFmt>
        <c:idx val="1492"/>
        <c:spPr>
          <a:solidFill>
            <a:schemeClr val="accent1"/>
          </a:solidFill>
          <a:ln w="19050">
            <a:solidFill>
              <a:schemeClr val="lt1"/>
            </a:solidFill>
          </a:ln>
          <a:effectLst/>
        </c:spPr>
      </c:pivotFmt>
      <c:pivotFmt>
        <c:idx val="1493"/>
        <c:spPr>
          <a:solidFill>
            <a:schemeClr val="accent1"/>
          </a:solidFill>
          <a:ln w="19050">
            <a:solidFill>
              <a:schemeClr val="lt1"/>
            </a:solidFill>
          </a:ln>
          <a:effectLst/>
        </c:spPr>
      </c:pivotFmt>
      <c:pivotFmt>
        <c:idx val="14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5"/>
        <c:spPr>
          <a:solidFill>
            <a:schemeClr val="accent1"/>
          </a:solidFill>
          <a:ln w="19050">
            <a:solidFill>
              <a:schemeClr val="lt1"/>
            </a:solidFill>
          </a:ln>
          <a:effectLst/>
        </c:spPr>
      </c:pivotFmt>
      <c:pivotFmt>
        <c:idx val="1496"/>
        <c:spPr>
          <a:solidFill>
            <a:schemeClr val="accent1"/>
          </a:solidFill>
          <a:ln w="19050">
            <a:solidFill>
              <a:schemeClr val="lt1"/>
            </a:solidFill>
          </a:ln>
          <a:effectLst/>
        </c:spPr>
      </c:pivotFmt>
      <c:pivotFmt>
        <c:idx val="1497"/>
        <c:spPr>
          <a:solidFill>
            <a:schemeClr val="accent1"/>
          </a:solidFill>
          <a:ln w="19050">
            <a:solidFill>
              <a:schemeClr val="lt1"/>
            </a:solidFill>
          </a:ln>
          <a:effectLst/>
        </c:spPr>
      </c:pivotFmt>
      <c:pivotFmt>
        <c:idx val="1498"/>
        <c:spPr>
          <a:solidFill>
            <a:schemeClr val="accent1"/>
          </a:solidFill>
          <a:ln w="19050">
            <a:solidFill>
              <a:schemeClr val="lt1"/>
            </a:solidFill>
          </a:ln>
          <a:effectLst/>
        </c:spPr>
      </c:pivotFmt>
      <c:pivotFmt>
        <c:idx val="1499"/>
        <c:spPr>
          <a:solidFill>
            <a:schemeClr val="accent1"/>
          </a:solidFill>
          <a:ln w="19050">
            <a:solidFill>
              <a:schemeClr val="lt1"/>
            </a:solidFill>
          </a:ln>
          <a:effectLst/>
        </c:spPr>
      </c:pivotFmt>
      <c:pivotFmt>
        <c:idx val="1500"/>
        <c:spPr>
          <a:solidFill>
            <a:schemeClr val="accent1"/>
          </a:solidFill>
          <a:ln w="19050">
            <a:solidFill>
              <a:schemeClr val="lt1"/>
            </a:solidFill>
          </a:ln>
          <a:effectLst/>
        </c:spPr>
      </c:pivotFmt>
      <c:pivotFmt>
        <c:idx val="1501"/>
        <c:spPr>
          <a:solidFill>
            <a:schemeClr val="accent1"/>
          </a:solidFill>
          <a:ln w="19050">
            <a:solidFill>
              <a:schemeClr val="lt1"/>
            </a:solidFill>
          </a:ln>
          <a:effectLst/>
        </c:spPr>
      </c:pivotFmt>
      <c:pivotFmt>
        <c:idx val="1502"/>
        <c:spPr>
          <a:solidFill>
            <a:schemeClr val="accent1"/>
          </a:solidFill>
          <a:ln w="19050">
            <a:solidFill>
              <a:schemeClr val="lt1"/>
            </a:solidFill>
          </a:ln>
          <a:effectLst/>
        </c:spPr>
      </c:pivotFmt>
      <c:pivotFmt>
        <c:idx val="1503"/>
        <c:spPr>
          <a:solidFill>
            <a:schemeClr val="accent1"/>
          </a:solidFill>
          <a:ln w="19050">
            <a:solidFill>
              <a:schemeClr val="lt1"/>
            </a:solidFill>
          </a:ln>
          <a:effectLst/>
        </c:spPr>
      </c:pivotFmt>
      <c:pivotFmt>
        <c:idx val="1504"/>
        <c:spPr>
          <a:solidFill>
            <a:schemeClr val="accent1"/>
          </a:solidFill>
          <a:ln w="19050">
            <a:solidFill>
              <a:schemeClr val="lt1"/>
            </a:solidFill>
          </a:ln>
          <a:effectLst/>
        </c:spPr>
      </c:pivotFmt>
      <c:pivotFmt>
        <c:idx val="1505"/>
        <c:spPr>
          <a:solidFill>
            <a:schemeClr val="accent1"/>
          </a:solidFill>
          <a:ln w="19050">
            <a:solidFill>
              <a:schemeClr val="lt1"/>
            </a:solidFill>
          </a:ln>
          <a:effectLst/>
        </c:spPr>
      </c:pivotFmt>
      <c:pivotFmt>
        <c:idx val="1506"/>
        <c:spPr>
          <a:solidFill>
            <a:schemeClr val="accent1"/>
          </a:solidFill>
          <a:ln w="19050">
            <a:solidFill>
              <a:schemeClr val="lt1"/>
            </a:solidFill>
          </a:ln>
          <a:effectLst/>
        </c:spPr>
      </c:pivotFmt>
      <c:pivotFmt>
        <c:idx val="1507"/>
        <c:spPr>
          <a:solidFill>
            <a:schemeClr val="accent1"/>
          </a:solidFill>
          <a:ln w="19050">
            <a:solidFill>
              <a:schemeClr val="lt1"/>
            </a:solidFill>
          </a:ln>
          <a:effectLst/>
        </c:spPr>
      </c:pivotFmt>
      <c:pivotFmt>
        <c:idx val="1508"/>
        <c:spPr>
          <a:solidFill>
            <a:schemeClr val="accent1"/>
          </a:solidFill>
          <a:ln w="19050">
            <a:solidFill>
              <a:schemeClr val="lt1"/>
            </a:solidFill>
          </a:ln>
          <a:effectLst/>
        </c:spPr>
      </c:pivotFmt>
      <c:pivotFmt>
        <c:idx val="1509"/>
        <c:spPr>
          <a:solidFill>
            <a:schemeClr val="accent1"/>
          </a:solidFill>
          <a:ln w="19050">
            <a:solidFill>
              <a:schemeClr val="lt1"/>
            </a:solidFill>
          </a:ln>
          <a:effectLst/>
        </c:spPr>
      </c:pivotFmt>
      <c:pivotFmt>
        <c:idx val="1510"/>
        <c:spPr>
          <a:solidFill>
            <a:schemeClr val="accent1"/>
          </a:solidFill>
          <a:ln w="19050">
            <a:solidFill>
              <a:schemeClr val="lt1"/>
            </a:solidFill>
          </a:ln>
          <a:effectLst/>
        </c:spPr>
      </c:pivotFmt>
      <c:pivotFmt>
        <c:idx val="1511"/>
        <c:spPr>
          <a:solidFill>
            <a:schemeClr val="accent1"/>
          </a:solidFill>
          <a:ln w="19050">
            <a:solidFill>
              <a:schemeClr val="lt1"/>
            </a:solidFill>
          </a:ln>
          <a:effectLst/>
        </c:spPr>
      </c:pivotFmt>
      <c:pivotFmt>
        <c:idx val="1512"/>
        <c:spPr>
          <a:solidFill>
            <a:schemeClr val="accent1"/>
          </a:solidFill>
          <a:ln w="19050">
            <a:solidFill>
              <a:schemeClr val="lt1"/>
            </a:solidFill>
          </a:ln>
          <a:effectLst/>
        </c:spPr>
      </c:pivotFmt>
      <c:pivotFmt>
        <c:idx val="1513"/>
        <c:spPr>
          <a:solidFill>
            <a:schemeClr val="accent1"/>
          </a:solidFill>
          <a:ln w="19050">
            <a:solidFill>
              <a:schemeClr val="lt1"/>
            </a:solidFill>
          </a:ln>
          <a:effectLst/>
        </c:spPr>
      </c:pivotFmt>
      <c:pivotFmt>
        <c:idx val="1514"/>
        <c:spPr>
          <a:solidFill>
            <a:schemeClr val="accent1"/>
          </a:solidFill>
          <a:ln w="19050">
            <a:solidFill>
              <a:schemeClr val="lt1"/>
            </a:solidFill>
          </a:ln>
          <a:effectLst/>
        </c:spPr>
      </c:pivotFmt>
      <c:pivotFmt>
        <c:idx val="1515"/>
        <c:spPr>
          <a:solidFill>
            <a:schemeClr val="accent1"/>
          </a:solidFill>
          <a:ln w="19050">
            <a:solidFill>
              <a:schemeClr val="lt1"/>
            </a:solidFill>
          </a:ln>
          <a:effectLst/>
        </c:spPr>
      </c:pivotFmt>
      <c:pivotFmt>
        <c:idx val="1516"/>
        <c:spPr>
          <a:solidFill>
            <a:schemeClr val="accent1"/>
          </a:solidFill>
          <a:ln w="19050">
            <a:solidFill>
              <a:schemeClr val="lt1"/>
            </a:solidFill>
          </a:ln>
          <a:effectLst/>
        </c:spPr>
      </c:pivotFmt>
      <c:pivotFmt>
        <c:idx val="1517"/>
        <c:spPr>
          <a:solidFill>
            <a:schemeClr val="accent1"/>
          </a:solidFill>
          <a:ln w="19050">
            <a:solidFill>
              <a:schemeClr val="lt1"/>
            </a:solidFill>
          </a:ln>
          <a:effectLst/>
        </c:spPr>
      </c:pivotFmt>
      <c:pivotFmt>
        <c:idx val="1518"/>
        <c:spPr>
          <a:solidFill>
            <a:schemeClr val="accent1"/>
          </a:solidFill>
          <a:ln w="19050">
            <a:solidFill>
              <a:schemeClr val="lt1"/>
            </a:solidFill>
          </a:ln>
          <a:effectLst/>
        </c:spPr>
      </c:pivotFmt>
      <c:pivotFmt>
        <c:idx val="1519"/>
        <c:spPr>
          <a:solidFill>
            <a:schemeClr val="accent1"/>
          </a:solidFill>
          <a:ln w="19050">
            <a:solidFill>
              <a:schemeClr val="lt1"/>
            </a:solidFill>
          </a:ln>
          <a:effectLst/>
        </c:spPr>
      </c:pivotFmt>
      <c:pivotFmt>
        <c:idx val="1520"/>
        <c:spPr>
          <a:solidFill>
            <a:schemeClr val="accent1"/>
          </a:solidFill>
          <a:ln w="19050">
            <a:solidFill>
              <a:schemeClr val="lt1"/>
            </a:solidFill>
          </a:ln>
          <a:effectLst/>
        </c:spPr>
      </c:pivotFmt>
      <c:pivotFmt>
        <c:idx val="15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2"/>
        <c:spPr>
          <a:solidFill>
            <a:schemeClr val="accent1"/>
          </a:solidFill>
          <a:ln w="19050">
            <a:solidFill>
              <a:schemeClr val="lt1"/>
            </a:solidFill>
          </a:ln>
          <a:effectLst/>
        </c:spPr>
      </c:pivotFmt>
      <c:pivotFmt>
        <c:idx val="1523"/>
        <c:spPr>
          <a:solidFill>
            <a:schemeClr val="accent1"/>
          </a:solidFill>
          <a:ln w="19050">
            <a:solidFill>
              <a:schemeClr val="lt1"/>
            </a:solidFill>
          </a:ln>
          <a:effectLst/>
        </c:spPr>
      </c:pivotFmt>
      <c:pivotFmt>
        <c:idx val="1524"/>
        <c:spPr>
          <a:solidFill>
            <a:schemeClr val="accent1"/>
          </a:solidFill>
          <a:ln w="19050">
            <a:solidFill>
              <a:schemeClr val="lt1"/>
            </a:solidFill>
          </a:ln>
          <a:effectLst/>
        </c:spPr>
      </c:pivotFmt>
      <c:pivotFmt>
        <c:idx val="1525"/>
        <c:spPr>
          <a:solidFill>
            <a:schemeClr val="accent1"/>
          </a:solidFill>
          <a:ln w="19050">
            <a:solidFill>
              <a:schemeClr val="lt1"/>
            </a:solidFill>
          </a:ln>
          <a:effectLst/>
        </c:spPr>
      </c:pivotFmt>
      <c:pivotFmt>
        <c:idx val="1526"/>
        <c:spPr>
          <a:solidFill>
            <a:schemeClr val="accent1"/>
          </a:solidFill>
          <a:ln w="19050">
            <a:solidFill>
              <a:schemeClr val="lt1"/>
            </a:solidFill>
          </a:ln>
          <a:effectLst/>
        </c:spPr>
      </c:pivotFmt>
      <c:pivotFmt>
        <c:idx val="1527"/>
        <c:spPr>
          <a:solidFill>
            <a:schemeClr val="accent1"/>
          </a:solidFill>
          <a:ln w="19050">
            <a:solidFill>
              <a:schemeClr val="lt1"/>
            </a:solidFill>
          </a:ln>
          <a:effectLst/>
        </c:spPr>
      </c:pivotFmt>
      <c:pivotFmt>
        <c:idx val="1528"/>
        <c:spPr>
          <a:solidFill>
            <a:schemeClr val="accent1"/>
          </a:solidFill>
          <a:ln w="19050">
            <a:solidFill>
              <a:schemeClr val="lt1"/>
            </a:solidFill>
          </a:ln>
          <a:effectLst/>
        </c:spPr>
      </c:pivotFmt>
      <c:pivotFmt>
        <c:idx val="1529"/>
        <c:spPr>
          <a:solidFill>
            <a:schemeClr val="accent1"/>
          </a:solidFill>
          <a:ln w="19050">
            <a:solidFill>
              <a:schemeClr val="lt1"/>
            </a:solidFill>
          </a:ln>
          <a:effectLst/>
        </c:spPr>
      </c:pivotFmt>
      <c:pivotFmt>
        <c:idx val="1530"/>
        <c:spPr>
          <a:solidFill>
            <a:schemeClr val="accent1"/>
          </a:solidFill>
          <a:ln w="19050">
            <a:solidFill>
              <a:schemeClr val="lt1"/>
            </a:solidFill>
          </a:ln>
          <a:effectLst/>
        </c:spPr>
      </c:pivotFmt>
      <c:pivotFmt>
        <c:idx val="1531"/>
        <c:spPr>
          <a:solidFill>
            <a:schemeClr val="accent1"/>
          </a:solidFill>
          <a:ln w="19050">
            <a:solidFill>
              <a:schemeClr val="lt1"/>
            </a:solidFill>
          </a:ln>
          <a:effectLst/>
        </c:spPr>
      </c:pivotFmt>
      <c:pivotFmt>
        <c:idx val="1532"/>
        <c:spPr>
          <a:solidFill>
            <a:schemeClr val="accent1"/>
          </a:solidFill>
          <a:ln w="19050">
            <a:solidFill>
              <a:schemeClr val="lt1"/>
            </a:solidFill>
          </a:ln>
          <a:effectLst/>
        </c:spPr>
      </c:pivotFmt>
      <c:pivotFmt>
        <c:idx val="1533"/>
        <c:spPr>
          <a:solidFill>
            <a:schemeClr val="accent1"/>
          </a:solidFill>
          <a:ln w="19050">
            <a:solidFill>
              <a:schemeClr val="lt1"/>
            </a:solidFill>
          </a:ln>
          <a:effectLst/>
        </c:spPr>
      </c:pivotFmt>
      <c:pivotFmt>
        <c:idx val="1534"/>
        <c:spPr>
          <a:solidFill>
            <a:schemeClr val="accent1"/>
          </a:solidFill>
          <a:ln w="19050">
            <a:solidFill>
              <a:schemeClr val="lt1"/>
            </a:solidFill>
          </a:ln>
          <a:effectLst/>
        </c:spPr>
      </c:pivotFmt>
      <c:pivotFmt>
        <c:idx val="1535"/>
        <c:spPr>
          <a:solidFill>
            <a:schemeClr val="accent1"/>
          </a:solidFill>
          <a:ln w="19050">
            <a:solidFill>
              <a:schemeClr val="lt1"/>
            </a:solidFill>
          </a:ln>
          <a:effectLst/>
        </c:spPr>
      </c:pivotFmt>
      <c:pivotFmt>
        <c:idx val="1536"/>
        <c:spPr>
          <a:solidFill>
            <a:schemeClr val="accent1"/>
          </a:solidFill>
          <a:ln w="19050">
            <a:solidFill>
              <a:schemeClr val="lt1"/>
            </a:solidFill>
          </a:ln>
          <a:effectLst/>
        </c:spPr>
      </c:pivotFmt>
      <c:pivotFmt>
        <c:idx val="1537"/>
        <c:spPr>
          <a:solidFill>
            <a:schemeClr val="accent1"/>
          </a:solidFill>
          <a:ln w="19050">
            <a:solidFill>
              <a:schemeClr val="lt1"/>
            </a:solidFill>
          </a:ln>
          <a:effectLst/>
        </c:spPr>
      </c:pivotFmt>
      <c:pivotFmt>
        <c:idx val="1538"/>
        <c:spPr>
          <a:solidFill>
            <a:schemeClr val="accent1"/>
          </a:solidFill>
          <a:ln w="19050">
            <a:solidFill>
              <a:schemeClr val="lt1"/>
            </a:solidFill>
          </a:ln>
          <a:effectLst/>
        </c:spPr>
      </c:pivotFmt>
      <c:pivotFmt>
        <c:idx val="1539"/>
        <c:spPr>
          <a:solidFill>
            <a:schemeClr val="accent1"/>
          </a:solidFill>
          <a:ln w="19050">
            <a:solidFill>
              <a:schemeClr val="lt1"/>
            </a:solidFill>
          </a:ln>
          <a:effectLst/>
        </c:spPr>
      </c:pivotFmt>
      <c:pivotFmt>
        <c:idx val="1540"/>
        <c:spPr>
          <a:solidFill>
            <a:schemeClr val="accent1"/>
          </a:solidFill>
          <a:ln w="19050">
            <a:solidFill>
              <a:schemeClr val="lt1"/>
            </a:solidFill>
          </a:ln>
          <a:effectLst/>
        </c:spPr>
      </c:pivotFmt>
      <c:pivotFmt>
        <c:idx val="1541"/>
        <c:spPr>
          <a:solidFill>
            <a:schemeClr val="accent1"/>
          </a:solidFill>
          <a:ln w="19050">
            <a:solidFill>
              <a:schemeClr val="lt1"/>
            </a:solidFill>
          </a:ln>
          <a:effectLst/>
        </c:spPr>
      </c:pivotFmt>
      <c:pivotFmt>
        <c:idx val="1542"/>
        <c:spPr>
          <a:solidFill>
            <a:schemeClr val="accent1"/>
          </a:solidFill>
          <a:ln w="19050">
            <a:solidFill>
              <a:schemeClr val="lt1"/>
            </a:solidFill>
          </a:ln>
          <a:effectLst/>
        </c:spPr>
      </c:pivotFmt>
      <c:pivotFmt>
        <c:idx val="1543"/>
        <c:spPr>
          <a:solidFill>
            <a:schemeClr val="accent1"/>
          </a:solidFill>
          <a:ln w="19050">
            <a:solidFill>
              <a:schemeClr val="lt1"/>
            </a:solidFill>
          </a:ln>
          <a:effectLst/>
        </c:spPr>
      </c:pivotFmt>
      <c:pivotFmt>
        <c:idx val="1544"/>
        <c:spPr>
          <a:solidFill>
            <a:schemeClr val="accent1"/>
          </a:solidFill>
          <a:ln w="19050">
            <a:solidFill>
              <a:schemeClr val="lt1"/>
            </a:solidFill>
          </a:ln>
          <a:effectLst/>
        </c:spPr>
      </c:pivotFmt>
      <c:pivotFmt>
        <c:idx val="1545"/>
        <c:spPr>
          <a:solidFill>
            <a:schemeClr val="accent1"/>
          </a:solidFill>
          <a:ln w="19050">
            <a:solidFill>
              <a:schemeClr val="lt1"/>
            </a:solidFill>
          </a:ln>
          <a:effectLst/>
        </c:spPr>
      </c:pivotFmt>
      <c:pivotFmt>
        <c:idx val="1546"/>
        <c:spPr>
          <a:solidFill>
            <a:schemeClr val="accent1"/>
          </a:solidFill>
          <a:ln w="19050">
            <a:solidFill>
              <a:schemeClr val="lt1"/>
            </a:solidFill>
          </a:ln>
          <a:effectLst/>
        </c:spPr>
      </c:pivotFmt>
      <c:pivotFmt>
        <c:idx val="1547"/>
        <c:spPr>
          <a:solidFill>
            <a:schemeClr val="accent1"/>
          </a:solidFill>
          <a:ln w="19050">
            <a:solidFill>
              <a:schemeClr val="lt1"/>
            </a:solidFill>
          </a:ln>
          <a:effectLst/>
        </c:spPr>
      </c:pivotFmt>
      <c:pivotFmt>
        <c:idx val="15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9"/>
        <c:spPr>
          <a:solidFill>
            <a:schemeClr val="accent1"/>
          </a:solidFill>
          <a:ln w="19050">
            <a:solidFill>
              <a:schemeClr val="lt1"/>
            </a:solidFill>
          </a:ln>
          <a:effectLst/>
        </c:spPr>
      </c:pivotFmt>
      <c:pivotFmt>
        <c:idx val="1550"/>
        <c:spPr>
          <a:solidFill>
            <a:schemeClr val="accent1"/>
          </a:solidFill>
          <a:ln w="19050">
            <a:solidFill>
              <a:schemeClr val="lt1"/>
            </a:solidFill>
          </a:ln>
          <a:effectLst/>
        </c:spPr>
      </c:pivotFmt>
      <c:pivotFmt>
        <c:idx val="1551"/>
        <c:spPr>
          <a:solidFill>
            <a:schemeClr val="accent1"/>
          </a:solidFill>
          <a:ln w="19050">
            <a:solidFill>
              <a:schemeClr val="lt1"/>
            </a:solidFill>
          </a:ln>
          <a:effectLst/>
        </c:spPr>
      </c:pivotFmt>
      <c:pivotFmt>
        <c:idx val="1552"/>
        <c:spPr>
          <a:solidFill>
            <a:schemeClr val="accent1"/>
          </a:solidFill>
          <a:ln w="19050">
            <a:solidFill>
              <a:schemeClr val="lt1"/>
            </a:solidFill>
          </a:ln>
          <a:effectLst/>
        </c:spPr>
      </c:pivotFmt>
      <c:pivotFmt>
        <c:idx val="1553"/>
        <c:spPr>
          <a:solidFill>
            <a:schemeClr val="accent1"/>
          </a:solidFill>
          <a:ln w="19050">
            <a:solidFill>
              <a:schemeClr val="lt1"/>
            </a:solidFill>
          </a:ln>
          <a:effectLst/>
        </c:spPr>
      </c:pivotFmt>
      <c:pivotFmt>
        <c:idx val="1554"/>
        <c:spPr>
          <a:solidFill>
            <a:schemeClr val="accent1"/>
          </a:solidFill>
          <a:ln w="19050">
            <a:solidFill>
              <a:schemeClr val="lt1"/>
            </a:solidFill>
          </a:ln>
          <a:effectLst/>
        </c:spPr>
      </c:pivotFmt>
      <c:pivotFmt>
        <c:idx val="1555"/>
        <c:spPr>
          <a:solidFill>
            <a:schemeClr val="accent1"/>
          </a:solidFill>
          <a:ln w="19050">
            <a:solidFill>
              <a:schemeClr val="lt1"/>
            </a:solidFill>
          </a:ln>
          <a:effectLst/>
        </c:spPr>
      </c:pivotFmt>
      <c:pivotFmt>
        <c:idx val="1556"/>
        <c:spPr>
          <a:solidFill>
            <a:schemeClr val="accent1"/>
          </a:solidFill>
          <a:ln w="19050">
            <a:solidFill>
              <a:schemeClr val="lt1"/>
            </a:solidFill>
          </a:ln>
          <a:effectLst/>
        </c:spPr>
      </c:pivotFmt>
      <c:pivotFmt>
        <c:idx val="1557"/>
        <c:spPr>
          <a:solidFill>
            <a:schemeClr val="accent1"/>
          </a:solidFill>
          <a:ln w="19050">
            <a:solidFill>
              <a:schemeClr val="lt1"/>
            </a:solidFill>
          </a:ln>
          <a:effectLst/>
        </c:spPr>
      </c:pivotFmt>
      <c:pivotFmt>
        <c:idx val="1558"/>
        <c:spPr>
          <a:solidFill>
            <a:schemeClr val="accent1"/>
          </a:solidFill>
          <a:ln w="19050">
            <a:solidFill>
              <a:schemeClr val="lt1"/>
            </a:solidFill>
          </a:ln>
          <a:effectLst/>
        </c:spPr>
      </c:pivotFmt>
      <c:pivotFmt>
        <c:idx val="1559"/>
        <c:spPr>
          <a:solidFill>
            <a:schemeClr val="accent1"/>
          </a:solidFill>
          <a:ln w="19050">
            <a:solidFill>
              <a:schemeClr val="lt1"/>
            </a:solidFill>
          </a:ln>
          <a:effectLst/>
        </c:spPr>
      </c:pivotFmt>
      <c:pivotFmt>
        <c:idx val="1560"/>
        <c:spPr>
          <a:solidFill>
            <a:schemeClr val="accent1"/>
          </a:solidFill>
          <a:ln w="19050">
            <a:solidFill>
              <a:schemeClr val="lt1"/>
            </a:solidFill>
          </a:ln>
          <a:effectLst/>
        </c:spPr>
      </c:pivotFmt>
      <c:pivotFmt>
        <c:idx val="1561"/>
        <c:spPr>
          <a:solidFill>
            <a:schemeClr val="accent1"/>
          </a:solidFill>
          <a:ln w="19050">
            <a:solidFill>
              <a:schemeClr val="lt1"/>
            </a:solidFill>
          </a:ln>
          <a:effectLst/>
        </c:spPr>
      </c:pivotFmt>
      <c:pivotFmt>
        <c:idx val="1562"/>
        <c:spPr>
          <a:solidFill>
            <a:schemeClr val="accent1"/>
          </a:solidFill>
          <a:ln w="19050">
            <a:solidFill>
              <a:schemeClr val="lt1"/>
            </a:solidFill>
          </a:ln>
          <a:effectLst/>
        </c:spPr>
      </c:pivotFmt>
      <c:pivotFmt>
        <c:idx val="1563"/>
        <c:spPr>
          <a:solidFill>
            <a:schemeClr val="accent1"/>
          </a:solidFill>
          <a:ln w="19050">
            <a:solidFill>
              <a:schemeClr val="lt1"/>
            </a:solidFill>
          </a:ln>
          <a:effectLst/>
        </c:spPr>
      </c:pivotFmt>
      <c:pivotFmt>
        <c:idx val="1564"/>
        <c:spPr>
          <a:solidFill>
            <a:schemeClr val="accent1"/>
          </a:solidFill>
          <a:ln w="19050">
            <a:solidFill>
              <a:schemeClr val="lt1"/>
            </a:solidFill>
          </a:ln>
          <a:effectLst/>
        </c:spPr>
      </c:pivotFmt>
      <c:pivotFmt>
        <c:idx val="1565"/>
        <c:spPr>
          <a:solidFill>
            <a:schemeClr val="accent1"/>
          </a:solidFill>
          <a:ln w="19050">
            <a:solidFill>
              <a:schemeClr val="lt1"/>
            </a:solidFill>
          </a:ln>
          <a:effectLst/>
        </c:spPr>
      </c:pivotFmt>
      <c:pivotFmt>
        <c:idx val="1566"/>
        <c:spPr>
          <a:solidFill>
            <a:schemeClr val="accent1"/>
          </a:solidFill>
          <a:ln w="19050">
            <a:solidFill>
              <a:schemeClr val="lt1"/>
            </a:solidFill>
          </a:ln>
          <a:effectLst/>
        </c:spPr>
      </c:pivotFmt>
      <c:pivotFmt>
        <c:idx val="1567"/>
        <c:spPr>
          <a:solidFill>
            <a:schemeClr val="accent1"/>
          </a:solidFill>
          <a:ln w="19050">
            <a:solidFill>
              <a:schemeClr val="lt1"/>
            </a:solidFill>
          </a:ln>
          <a:effectLst/>
        </c:spPr>
      </c:pivotFmt>
      <c:pivotFmt>
        <c:idx val="1568"/>
        <c:spPr>
          <a:solidFill>
            <a:schemeClr val="accent1"/>
          </a:solidFill>
          <a:ln w="19050">
            <a:solidFill>
              <a:schemeClr val="lt1"/>
            </a:solidFill>
          </a:ln>
          <a:effectLst/>
        </c:spPr>
      </c:pivotFmt>
      <c:pivotFmt>
        <c:idx val="1569"/>
        <c:spPr>
          <a:solidFill>
            <a:schemeClr val="accent1"/>
          </a:solidFill>
          <a:ln w="19050">
            <a:solidFill>
              <a:schemeClr val="lt1"/>
            </a:solidFill>
          </a:ln>
          <a:effectLst/>
        </c:spPr>
      </c:pivotFmt>
      <c:pivotFmt>
        <c:idx val="1570"/>
        <c:spPr>
          <a:solidFill>
            <a:schemeClr val="accent1"/>
          </a:solidFill>
          <a:ln w="19050">
            <a:solidFill>
              <a:schemeClr val="lt1"/>
            </a:solidFill>
          </a:ln>
          <a:effectLst/>
        </c:spPr>
      </c:pivotFmt>
      <c:pivotFmt>
        <c:idx val="1571"/>
        <c:spPr>
          <a:solidFill>
            <a:schemeClr val="accent1"/>
          </a:solidFill>
          <a:ln w="19050">
            <a:solidFill>
              <a:schemeClr val="lt1"/>
            </a:solidFill>
          </a:ln>
          <a:effectLst/>
        </c:spPr>
      </c:pivotFmt>
      <c:pivotFmt>
        <c:idx val="1572"/>
        <c:spPr>
          <a:solidFill>
            <a:schemeClr val="accent1"/>
          </a:solidFill>
          <a:ln w="19050">
            <a:solidFill>
              <a:schemeClr val="lt1"/>
            </a:solidFill>
          </a:ln>
          <a:effectLst/>
        </c:spPr>
      </c:pivotFmt>
      <c:pivotFmt>
        <c:idx val="1573"/>
        <c:spPr>
          <a:solidFill>
            <a:schemeClr val="accent1"/>
          </a:solidFill>
          <a:ln w="19050">
            <a:solidFill>
              <a:schemeClr val="lt1"/>
            </a:solidFill>
          </a:ln>
          <a:effectLst/>
        </c:spPr>
      </c:pivotFmt>
      <c:pivotFmt>
        <c:idx val="1574"/>
        <c:spPr>
          <a:solidFill>
            <a:schemeClr val="accent1"/>
          </a:solidFill>
          <a:ln w="19050">
            <a:solidFill>
              <a:schemeClr val="lt1"/>
            </a:solidFill>
          </a:ln>
          <a:effectLst/>
        </c:spPr>
      </c:pivotFmt>
      <c:pivotFmt>
        <c:idx val="15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6"/>
        <c:spPr>
          <a:solidFill>
            <a:schemeClr val="accent1"/>
          </a:solidFill>
          <a:ln w="19050">
            <a:solidFill>
              <a:schemeClr val="lt1"/>
            </a:solidFill>
          </a:ln>
          <a:effectLst/>
        </c:spPr>
      </c:pivotFmt>
      <c:pivotFmt>
        <c:idx val="1577"/>
        <c:spPr>
          <a:solidFill>
            <a:schemeClr val="accent1"/>
          </a:solidFill>
          <a:ln w="19050">
            <a:solidFill>
              <a:schemeClr val="lt1"/>
            </a:solidFill>
          </a:ln>
          <a:effectLst/>
        </c:spPr>
      </c:pivotFmt>
      <c:pivotFmt>
        <c:idx val="1578"/>
        <c:spPr>
          <a:solidFill>
            <a:schemeClr val="accent1"/>
          </a:solidFill>
          <a:ln w="19050">
            <a:solidFill>
              <a:schemeClr val="lt1"/>
            </a:solidFill>
          </a:ln>
          <a:effectLst/>
        </c:spPr>
      </c:pivotFmt>
      <c:pivotFmt>
        <c:idx val="1579"/>
        <c:spPr>
          <a:solidFill>
            <a:schemeClr val="accent1"/>
          </a:solidFill>
          <a:ln w="19050">
            <a:solidFill>
              <a:schemeClr val="lt1"/>
            </a:solidFill>
          </a:ln>
          <a:effectLst/>
        </c:spPr>
      </c:pivotFmt>
      <c:pivotFmt>
        <c:idx val="1580"/>
        <c:spPr>
          <a:solidFill>
            <a:schemeClr val="accent1"/>
          </a:solidFill>
          <a:ln w="19050">
            <a:solidFill>
              <a:schemeClr val="lt1"/>
            </a:solidFill>
          </a:ln>
          <a:effectLst/>
        </c:spPr>
      </c:pivotFmt>
      <c:pivotFmt>
        <c:idx val="1581"/>
        <c:spPr>
          <a:solidFill>
            <a:schemeClr val="accent1"/>
          </a:solidFill>
          <a:ln w="19050">
            <a:solidFill>
              <a:schemeClr val="lt1"/>
            </a:solidFill>
          </a:ln>
          <a:effectLst/>
        </c:spPr>
      </c:pivotFmt>
      <c:pivotFmt>
        <c:idx val="1582"/>
        <c:spPr>
          <a:solidFill>
            <a:schemeClr val="accent1"/>
          </a:solidFill>
          <a:ln w="19050">
            <a:solidFill>
              <a:schemeClr val="lt1"/>
            </a:solidFill>
          </a:ln>
          <a:effectLst/>
        </c:spPr>
      </c:pivotFmt>
      <c:pivotFmt>
        <c:idx val="1583"/>
        <c:spPr>
          <a:solidFill>
            <a:schemeClr val="accent1"/>
          </a:solidFill>
          <a:ln w="19050">
            <a:solidFill>
              <a:schemeClr val="lt1"/>
            </a:solidFill>
          </a:ln>
          <a:effectLst/>
        </c:spPr>
      </c:pivotFmt>
      <c:pivotFmt>
        <c:idx val="1584"/>
        <c:spPr>
          <a:solidFill>
            <a:schemeClr val="accent1"/>
          </a:solidFill>
          <a:ln w="19050">
            <a:solidFill>
              <a:schemeClr val="lt1"/>
            </a:solidFill>
          </a:ln>
          <a:effectLst/>
        </c:spPr>
      </c:pivotFmt>
      <c:pivotFmt>
        <c:idx val="1585"/>
        <c:spPr>
          <a:solidFill>
            <a:schemeClr val="accent1"/>
          </a:solidFill>
          <a:ln w="19050">
            <a:solidFill>
              <a:schemeClr val="lt1"/>
            </a:solidFill>
          </a:ln>
          <a:effectLst/>
        </c:spPr>
      </c:pivotFmt>
      <c:pivotFmt>
        <c:idx val="1586"/>
        <c:spPr>
          <a:solidFill>
            <a:schemeClr val="accent1"/>
          </a:solidFill>
          <a:ln w="19050">
            <a:solidFill>
              <a:schemeClr val="lt1"/>
            </a:solidFill>
          </a:ln>
          <a:effectLst/>
        </c:spPr>
      </c:pivotFmt>
      <c:pivotFmt>
        <c:idx val="1587"/>
        <c:spPr>
          <a:solidFill>
            <a:schemeClr val="accent1"/>
          </a:solidFill>
          <a:ln w="19050">
            <a:solidFill>
              <a:schemeClr val="lt1"/>
            </a:solidFill>
          </a:ln>
          <a:effectLst/>
        </c:spPr>
      </c:pivotFmt>
      <c:pivotFmt>
        <c:idx val="1588"/>
        <c:spPr>
          <a:solidFill>
            <a:schemeClr val="accent1"/>
          </a:solidFill>
          <a:ln w="19050">
            <a:solidFill>
              <a:schemeClr val="lt1"/>
            </a:solidFill>
          </a:ln>
          <a:effectLst/>
        </c:spPr>
      </c:pivotFmt>
      <c:pivotFmt>
        <c:idx val="1589"/>
        <c:spPr>
          <a:solidFill>
            <a:schemeClr val="accent1"/>
          </a:solidFill>
          <a:ln w="19050">
            <a:solidFill>
              <a:schemeClr val="lt1"/>
            </a:solidFill>
          </a:ln>
          <a:effectLst/>
        </c:spPr>
      </c:pivotFmt>
      <c:pivotFmt>
        <c:idx val="1590"/>
        <c:spPr>
          <a:solidFill>
            <a:schemeClr val="accent1"/>
          </a:solidFill>
          <a:ln w="19050">
            <a:solidFill>
              <a:schemeClr val="lt1"/>
            </a:solidFill>
          </a:ln>
          <a:effectLst/>
        </c:spPr>
      </c:pivotFmt>
      <c:pivotFmt>
        <c:idx val="1591"/>
        <c:spPr>
          <a:solidFill>
            <a:schemeClr val="accent1"/>
          </a:solidFill>
          <a:ln w="19050">
            <a:solidFill>
              <a:schemeClr val="lt1"/>
            </a:solidFill>
          </a:ln>
          <a:effectLst/>
        </c:spPr>
      </c:pivotFmt>
      <c:pivotFmt>
        <c:idx val="1592"/>
        <c:spPr>
          <a:solidFill>
            <a:schemeClr val="accent1"/>
          </a:solidFill>
          <a:ln w="19050">
            <a:solidFill>
              <a:schemeClr val="lt1"/>
            </a:solidFill>
          </a:ln>
          <a:effectLst/>
        </c:spPr>
      </c:pivotFmt>
      <c:pivotFmt>
        <c:idx val="1593"/>
        <c:spPr>
          <a:solidFill>
            <a:schemeClr val="accent1"/>
          </a:solidFill>
          <a:ln w="19050">
            <a:solidFill>
              <a:schemeClr val="lt1"/>
            </a:solidFill>
          </a:ln>
          <a:effectLst/>
        </c:spPr>
      </c:pivotFmt>
      <c:pivotFmt>
        <c:idx val="1594"/>
        <c:spPr>
          <a:solidFill>
            <a:schemeClr val="accent1"/>
          </a:solidFill>
          <a:ln w="19050">
            <a:solidFill>
              <a:schemeClr val="lt1"/>
            </a:solidFill>
          </a:ln>
          <a:effectLst/>
        </c:spPr>
      </c:pivotFmt>
      <c:pivotFmt>
        <c:idx val="1595"/>
        <c:spPr>
          <a:solidFill>
            <a:schemeClr val="accent1"/>
          </a:solidFill>
          <a:ln w="19050">
            <a:solidFill>
              <a:schemeClr val="lt1"/>
            </a:solidFill>
          </a:ln>
          <a:effectLst/>
        </c:spPr>
      </c:pivotFmt>
      <c:pivotFmt>
        <c:idx val="1596"/>
        <c:spPr>
          <a:solidFill>
            <a:schemeClr val="accent1"/>
          </a:solidFill>
          <a:ln w="19050">
            <a:solidFill>
              <a:schemeClr val="lt1"/>
            </a:solidFill>
          </a:ln>
          <a:effectLst/>
        </c:spPr>
      </c:pivotFmt>
      <c:pivotFmt>
        <c:idx val="1597"/>
        <c:spPr>
          <a:solidFill>
            <a:schemeClr val="accent1"/>
          </a:solidFill>
          <a:ln w="19050">
            <a:solidFill>
              <a:schemeClr val="lt1"/>
            </a:solidFill>
          </a:ln>
          <a:effectLst/>
        </c:spPr>
      </c:pivotFmt>
      <c:pivotFmt>
        <c:idx val="1598"/>
        <c:spPr>
          <a:solidFill>
            <a:schemeClr val="accent1"/>
          </a:solidFill>
          <a:ln w="19050">
            <a:solidFill>
              <a:schemeClr val="lt1"/>
            </a:solidFill>
          </a:ln>
          <a:effectLst/>
        </c:spPr>
      </c:pivotFmt>
      <c:pivotFmt>
        <c:idx val="1599"/>
        <c:spPr>
          <a:solidFill>
            <a:schemeClr val="accent1"/>
          </a:solidFill>
          <a:ln w="19050">
            <a:solidFill>
              <a:schemeClr val="lt1"/>
            </a:solidFill>
          </a:ln>
          <a:effectLst/>
        </c:spPr>
      </c:pivotFmt>
      <c:pivotFmt>
        <c:idx val="1600"/>
        <c:spPr>
          <a:solidFill>
            <a:schemeClr val="accent1"/>
          </a:solidFill>
          <a:ln w="19050">
            <a:solidFill>
              <a:schemeClr val="lt1"/>
            </a:solidFill>
          </a:ln>
          <a:effectLst/>
        </c:spPr>
      </c:pivotFmt>
      <c:pivotFmt>
        <c:idx val="1601"/>
        <c:spPr>
          <a:solidFill>
            <a:schemeClr val="accent1"/>
          </a:solidFill>
          <a:ln w="19050">
            <a:solidFill>
              <a:schemeClr val="lt1"/>
            </a:solidFill>
          </a:ln>
          <a:effectLst/>
        </c:spPr>
      </c:pivotFmt>
      <c:pivotFmt>
        <c:idx val="16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3"/>
        <c:spPr>
          <a:solidFill>
            <a:schemeClr val="accent1"/>
          </a:solidFill>
          <a:ln w="19050">
            <a:solidFill>
              <a:schemeClr val="lt1"/>
            </a:solidFill>
          </a:ln>
          <a:effectLst/>
        </c:spPr>
      </c:pivotFmt>
      <c:pivotFmt>
        <c:idx val="1604"/>
        <c:spPr>
          <a:solidFill>
            <a:schemeClr val="accent1"/>
          </a:solidFill>
          <a:ln w="19050">
            <a:solidFill>
              <a:schemeClr val="lt1"/>
            </a:solidFill>
          </a:ln>
          <a:effectLst/>
        </c:spPr>
      </c:pivotFmt>
      <c:pivotFmt>
        <c:idx val="1605"/>
        <c:spPr>
          <a:solidFill>
            <a:schemeClr val="accent1"/>
          </a:solidFill>
          <a:ln w="19050">
            <a:solidFill>
              <a:schemeClr val="lt1"/>
            </a:solidFill>
          </a:ln>
          <a:effectLst/>
        </c:spPr>
      </c:pivotFmt>
      <c:pivotFmt>
        <c:idx val="1606"/>
        <c:spPr>
          <a:solidFill>
            <a:schemeClr val="accent1"/>
          </a:solidFill>
          <a:ln w="19050">
            <a:solidFill>
              <a:schemeClr val="lt1"/>
            </a:solidFill>
          </a:ln>
          <a:effectLst/>
        </c:spPr>
      </c:pivotFmt>
      <c:pivotFmt>
        <c:idx val="1607"/>
        <c:spPr>
          <a:solidFill>
            <a:schemeClr val="accent1"/>
          </a:solidFill>
          <a:ln w="19050">
            <a:solidFill>
              <a:schemeClr val="lt1"/>
            </a:solidFill>
          </a:ln>
          <a:effectLst/>
        </c:spPr>
      </c:pivotFmt>
      <c:pivotFmt>
        <c:idx val="1608"/>
        <c:spPr>
          <a:solidFill>
            <a:schemeClr val="accent1"/>
          </a:solidFill>
          <a:ln w="19050">
            <a:solidFill>
              <a:schemeClr val="lt1"/>
            </a:solidFill>
          </a:ln>
          <a:effectLst/>
        </c:spPr>
      </c:pivotFmt>
      <c:pivotFmt>
        <c:idx val="1609"/>
        <c:spPr>
          <a:solidFill>
            <a:schemeClr val="accent1"/>
          </a:solidFill>
          <a:ln w="19050">
            <a:solidFill>
              <a:schemeClr val="lt1"/>
            </a:solidFill>
          </a:ln>
          <a:effectLst/>
        </c:spPr>
      </c:pivotFmt>
      <c:pivotFmt>
        <c:idx val="1610"/>
        <c:spPr>
          <a:solidFill>
            <a:schemeClr val="accent1"/>
          </a:solidFill>
          <a:ln w="19050">
            <a:solidFill>
              <a:schemeClr val="lt1"/>
            </a:solidFill>
          </a:ln>
          <a:effectLst/>
        </c:spPr>
      </c:pivotFmt>
      <c:pivotFmt>
        <c:idx val="1611"/>
        <c:spPr>
          <a:solidFill>
            <a:schemeClr val="accent1"/>
          </a:solidFill>
          <a:ln w="19050">
            <a:solidFill>
              <a:schemeClr val="lt1"/>
            </a:solidFill>
          </a:ln>
          <a:effectLst/>
        </c:spPr>
      </c:pivotFmt>
      <c:pivotFmt>
        <c:idx val="1612"/>
        <c:spPr>
          <a:solidFill>
            <a:schemeClr val="accent1"/>
          </a:solidFill>
          <a:ln w="19050">
            <a:solidFill>
              <a:schemeClr val="lt1"/>
            </a:solidFill>
          </a:ln>
          <a:effectLst/>
        </c:spPr>
      </c:pivotFmt>
      <c:pivotFmt>
        <c:idx val="1613"/>
        <c:spPr>
          <a:solidFill>
            <a:schemeClr val="accent1"/>
          </a:solidFill>
          <a:ln w="19050">
            <a:solidFill>
              <a:schemeClr val="lt1"/>
            </a:solidFill>
          </a:ln>
          <a:effectLst/>
        </c:spPr>
      </c:pivotFmt>
      <c:pivotFmt>
        <c:idx val="1614"/>
        <c:spPr>
          <a:solidFill>
            <a:schemeClr val="accent1"/>
          </a:solidFill>
          <a:ln w="19050">
            <a:solidFill>
              <a:schemeClr val="lt1"/>
            </a:solidFill>
          </a:ln>
          <a:effectLst/>
        </c:spPr>
      </c:pivotFmt>
      <c:pivotFmt>
        <c:idx val="1615"/>
        <c:spPr>
          <a:solidFill>
            <a:schemeClr val="accent1"/>
          </a:solidFill>
          <a:ln w="19050">
            <a:solidFill>
              <a:schemeClr val="lt1"/>
            </a:solidFill>
          </a:ln>
          <a:effectLst/>
        </c:spPr>
      </c:pivotFmt>
      <c:pivotFmt>
        <c:idx val="1616"/>
        <c:spPr>
          <a:solidFill>
            <a:schemeClr val="accent1"/>
          </a:solidFill>
          <a:ln w="19050">
            <a:solidFill>
              <a:schemeClr val="lt1"/>
            </a:solidFill>
          </a:ln>
          <a:effectLst/>
        </c:spPr>
      </c:pivotFmt>
      <c:pivotFmt>
        <c:idx val="1617"/>
        <c:spPr>
          <a:solidFill>
            <a:schemeClr val="accent1"/>
          </a:solidFill>
          <a:ln w="19050">
            <a:solidFill>
              <a:schemeClr val="lt1"/>
            </a:solidFill>
          </a:ln>
          <a:effectLst/>
        </c:spPr>
      </c:pivotFmt>
      <c:pivotFmt>
        <c:idx val="1618"/>
        <c:spPr>
          <a:solidFill>
            <a:schemeClr val="accent1"/>
          </a:solidFill>
          <a:ln w="19050">
            <a:solidFill>
              <a:schemeClr val="lt1"/>
            </a:solidFill>
          </a:ln>
          <a:effectLst/>
        </c:spPr>
      </c:pivotFmt>
      <c:pivotFmt>
        <c:idx val="1619"/>
        <c:spPr>
          <a:solidFill>
            <a:schemeClr val="accent1"/>
          </a:solidFill>
          <a:ln w="19050">
            <a:solidFill>
              <a:schemeClr val="lt1"/>
            </a:solidFill>
          </a:ln>
          <a:effectLst/>
        </c:spPr>
      </c:pivotFmt>
      <c:pivotFmt>
        <c:idx val="1620"/>
        <c:spPr>
          <a:solidFill>
            <a:schemeClr val="accent1"/>
          </a:solidFill>
          <a:ln w="19050">
            <a:solidFill>
              <a:schemeClr val="lt1"/>
            </a:solidFill>
          </a:ln>
          <a:effectLst/>
        </c:spPr>
      </c:pivotFmt>
      <c:pivotFmt>
        <c:idx val="1621"/>
        <c:spPr>
          <a:solidFill>
            <a:schemeClr val="accent1"/>
          </a:solidFill>
          <a:ln w="19050">
            <a:solidFill>
              <a:schemeClr val="lt1"/>
            </a:solidFill>
          </a:ln>
          <a:effectLst/>
        </c:spPr>
      </c:pivotFmt>
      <c:pivotFmt>
        <c:idx val="1622"/>
        <c:spPr>
          <a:solidFill>
            <a:schemeClr val="accent1"/>
          </a:solidFill>
          <a:ln w="19050">
            <a:solidFill>
              <a:schemeClr val="lt1"/>
            </a:solidFill>
          </a:ln>
          <a:effectLst/>
        </c:spPr>
      </c:pivotFmt>
      <c:pivotFmt>
        <c:idx val="1623"/>
        <c:spPr>
          <a:solidFill>
            <a:schemeClr val="accent1"/>
          </a:solidFill>
          <a:ln w="19050">
            <a:solidFill>
              <a:schemeClr val="lt1"/>
            </a:solidFill>
          </a:ln>
          <a:effectLst/>
        </c:spPr>
      </c:pivotFmt>
      <c:pivotFmt>
        <c:idx val="1624"/>
        <c:spPr>
          <a:solidFill>
            <a:schemeClr val="accent1"/>
          </a:solidFill>
          <a:ln w="19050">
            <a:solidFill>
              <a:schemeClr val="lt1"/>
            </a:solidFill>
          </a:ln>
          <a:effectLst/>
        </c:spPr>
      </c:pivotFmt>
      <c:pivotFmt>
        <c:idx val="1625"/>
        <c:spPr>
          <a:solidFill>
            <a:schemeClr val="accent1"/>
          </a:solidFill>
          <a:ln w="19050">
            <a:solidFill>
              <a:schemeClr val="lt1"/>
            </a:solidFill>
          </a:ln>
          <a:effectLst/>
        </c:spPr>
      </c:pivotFmt>
      <c:pivotFmt>
        <c:idx val="1626"/>
        <c:spPr>
          <a:solidFill>
            <a:schemeClr val="accent1"/>
          </a:solidFill>
          <a:ln w="19050">
            <a:solidFill>
              <a:schemeClr val="lt1"/>
            </a:solidFill>
          </a:ln>
          <a:effectLst/>
        </c:spPr>
      </c:pivotFmt>
      <c:pivotFmt>
        <c:idx val="1627"/>
        <c:spPr>
          <a:solidFill>
            <a:schemeClr val="accent1"/>
          </a:solidFill>
          <a:ln w="19050">
            <a:solidFill>
              <a:schemeClr val="lt1"/>
            </a:solidFill>
          </a:ln>
          <a:effectLst/>
        </c:spPr>
      </c:pivotFmt>
      <c:pivotFmt>
        <c:idx val="1628"/>
        <c:spPr>
          <a:solidFill>
            <a:schemeClr val="accent1"/>
          </a:solidFill>
          <a:ln w="19050">
            <a:solidFill>
              <a:schemeClr val="lt1"/>
            </a:solidFill>
          </a:ln>
          <a:effectLst/>
        </c:spPr>
      </c:pivotFmt>
      <c:pivotFmt>
        <c:idx val="16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0"/>
        <c:spPr>
          <a:solidFill>
            <a:schemeClr val="accent1"/>
          </a:solidFill>
          <a:ln w="19050">
            <a:solidFill>
              <a:schemeClr val="lt1"/>
            </a:solidFill>
          </a:ln>
          <a:effectLst/>
        </c:spPr>
      </c:pivotFmt>
      <c:pivotFmt>
        <c:idx val="1631"/>
        <c:spPr>
          <a:solidFill>
            <a:schemeClr val="accent1"/>
          </a:solidFill>
          <a:ln w="19050">
            <a:solidFill>
              <a:schemeClr val="lt1"/>
            </a:solidFill>
          </a:ln>
          <a:effectLst/>
        </c:spPr>
      </c:pivotFmt>
      <c:pivotFmt>
        <c:idx val="1632"/>
        <c:spPr>
          <a:solidFill>
            <a:schemeClr val="accent1"/>
          </a:solidFill>
          <a:ln w="19050">
            <a:solidFill>
              <a:schemeClr val="lt1"/>
            </a:solidFill>
          </a:ln>
          <a:effectLst/>
        </c:spPr>
      </c:pivotFmt>
      <c:pivotFmt>
        <c:idx val="1633"/>
        <c:spPr>
          <a:solidFill>
            <a:schemeClr val="accent1"/>
          </a:solidFill>
          <a:ln w="19050">
            <a:solidFill>
              <a:schemeClr val="lt1"/>
            </a:solidFill>
          </a:ln>
          <a:effectLst/>
        </c:spPr>
      </c:pivotFmt>
      <c:pivotFmt>
        <c:idx val="1634"/>
        <c:spPr>
          <a:solidFill>
            <a:schemeClr val="accent1"/>
          </a:solidFill>
          <a:ln w="19050">
            <a:solidFill>
              <a:schemeClr val="lt1"/>
            </a:solidFill>
          </a:ln>
          <a:effectLst/>
        </c:spPr>
      </c:pivotFmt>
      <c:pivotFmt>
        <c:idx val="1635"/>
        <c:spPr>
          <a:solidFill>
            <a:schemeClr val="accent1"/>
          </a:solidFill>
          <a:ln w="19050">
            <a:solidFill>
              <a:schemeClr val="lt1"/>
            </a:solidFill>
          </a:ln>
          <a:effectLst/>
        </c:spPr>
      </c:pivotFmt>
      <c:pivotFmt>
        <c:idx val="1636"/>
        <c:spPr>
          <a:solidFill>
            <a:schemeClr val="accent1"/>
          </a:solidFill>
          <a:ln w="19050">
            <a:solidFill>
              <a:schemeClr val="lt1"/>
            </a:solidFill>
          </a:ln>
          <a:effectLst/>
        </c:spPr>
      </c:pivotFmt>
      <c:pivotFmt>
        <c:idx val="1637"/>
        <c:spPr>
          <a:solidFill>
            <a:schemeClr val="accent1"/>
          </a:solidFill>
          <a:ln w="19050">
            <a:solidFill>
              <a:schemeClr val="lt1"/>
            </a:solidFill>
          </a:ln>
          <a:effectLst/>
        </c:spPr>
      </c:pivotFmt>
      <c:pivotFmt>
        <c:idx val="1638"/>
        <c:spPr>
          <a:solidFill>
            <a:schemeClr val="accent1"/>
          </a:solidFill>
          <a:ln w="19050">
            <a:solidFill>
              <a:schemeClr val="lt1"/>
            </a:solidFill>
          </a:ln>
          <a:effectLst/>
        </c:spPr>
      </c:pivotFmt>
      <c:pivotFmt>
        <c:idx val="1639"/>
        <c:spPr>
          <a:solidFill>
            <a:schemeClr val="accent1"/>
          </a:solidFill>
          <a:ln w="19050">
            <a:solidFill>
              <a:schemeClr val="lt1"/>
            </a:solidFill>
          </a:ln>
          <a:effectLst/>
        </c:spPr>
      </c:pivotFmt>
      <c:pivotFmt>
        <c:idx val="1640"/>
        <c:spPr>
          <a:solidFill>
            <a:schemeClr val="accent1"/>
          </a:solidFill>
          <a:ln w="19050">
            <a:solidFill>
              <a:schemeClr val="lt1"/>
            </a:solidFill>
          </a:ln>
          <a:effectLst/>
        </c:spPr>
      </c:pivotFmt>
      <c:pivotFmt>
        <c:idx val="1641"/>
        <c:spPr>
          <a:solidFill>
            <a:schemeClr val="accent1"/>
          </a:solidFill>
          <a:ln w="19050">
            <a:solidFill>
              <a:schemeClr val="lt1"/>
            </a:solidFill>
          </a:ln>
          <a:effectLst/>
        </c:spPr>
      </c:pivotFmt>
      <c:pivotFmt>
        <c:idx val="1642"/>
        <c:spPr>
          <a:solidFill>
            <a:schemeClr val="accent1"/>
          </a:solidFill>
          <a:ln w="19050">
            <a:solidFill>
              <a:schemeClr val="lt1"/>
            </a:solidFill>
          </a:ln>
          <a:effectLst/>
        </c:spPr>
      </c:pivotFmt>
      <c:pivotFmt>
        <c:idx val="1643"/>
        <c:spPr>
          <a:solidFill>
            <a:schemeClr val="accent1"/>
          </a:solidFill>
          <a:ln w="19050">
            <a:solidFill>
              <a:schemeClr val="lt1"/>
            </a:solidFill>
          </a:ln>
          <a:effectLst/>
        </c:spPr>
      </c:pivotFmt>
      <c:pivotFmt>
        <c:idx val="1644"/>
        <c:spPr>
          <a:solidFill>
            <a:schemeClr val="accent1"/>
          </a:solidFill>
          <a:ln w="19050">
            <a:solidFill>
              <a:schemeClr val="lt1"/>
            </a:solidFill>
          </a:ln>
          <a:effectLst/>
        </c:spPr>
      </c:pivotFmt>
      <c:pivotFmt>
        <c:idx val="1645"/>
        <c:spPr>
          <a:solidFill>
            <a:schemeClr val="accent1"/>
          </a:solidFill>
          <a:ln w="19050">
            <a:solidFill>
              <a:schemeClr val="lt1"/>
            </a:solidFill>
          </a:ln>
          <a:effectLst/>
        </c:spPr>
      </c:pivotFmt>
      <c:pivotFmt>
        <c:idx val="1646"/>
        <c:spPr>
          <a:solidFill>
            <a:schemeClr val="accent1"/>
          </a:solidFill>
          <a:ln w="19050">
            <a:solidFill>
              <a:schemeClr val="lt1"/>
            </a:solidFill>
          </a:ln>
          <a:effectLst/>
        </c:spPr>
      </c:pivotFmt>
      <c:pivotFmt>
        <c:idx val="1647"/>
        <c:spPr>
          <a:solidFill>
            <a:schemeClr val="accent1"/>
          </a:solidFill>
          <a:ln w="19050">
            <a:solidFill>
              <a:schemeClr val="lt1"/>
            </a:solidFill>
          </a:ln>
          <a:effectLst/>
        </c:spPr>
      </c:pivotFmt>
      <c:pivotFmt>
        <c:idx val="1648"/>
        <c:spPr>
          <a:solidFill>
            <a:schemeClr val="accent1"/>
          </a:solidFill>
          <a:ln w="19050">
            <a:solidFill>
              <a:schemeClr val="lt1"/>
            </a:solidFill>
          </a:ln>
          <a:effectLst/>
        </c:spPr>
      </c:pivotFmt>
      <c:pivotFmt>
        <c:idx val="1649"/>
        <c:spPr>
          <a:solidFill>
            <a:schemeClr val="accent1"/>
          </a:solidFill>
          <a:ln w="19050">
            <a:solidFill>
              <a:schemeClr val="lt1"/>
            </a:solidFill>
          </a:ln>
          <a:effectLst/>
        </c:spPr>
      </c:pivotFmt>
      <c:pivotFmt>
        <c:idx val="1650"/>
        <c:spPr>
          <a:solidFill>
            <a:schemeClr val="accent1"/>
          </a:solidFill>
          <a:ln w="19050">
            <a:solidFill>
              <a:schemeClr val="lt1"/>
            </a:solidFill>
          </a:ln>
          <a:effectLst/>
        </c:spPr>
      </c:pivotFmt>
      <c:pivotFmt>
        <c:idx val="1651"/>
        <c:spPr>
          <a:solidFill>
            <a:schemeClr val="accent1"/>
          </a:solidFill>
          <a:ln w="19050">
            <a:solidFill>
              <a:schemeClr val="lt1"/>
            </a:solidFill>
          </a:ln>
          <a:effectLst/>
        </c:spPr>
      </c:pivotFmt>
      <c:pivotFmt>
        <c:idx val="1652"/>
        <c:spPr>
          <a:solidFill>
            <a:schemeClr val="accent1"/>
          </a:solidFill>
          <a:ln w="19050">
            <a:solidFill>
              <a:schemeClr val="lt1"/>
            </a:solidFill>
          </a:ln>
          <a:effectLst/>
        </c:spPr>
      </c:pivotFmt>
      <c:pivotFmt>
        <c:idx val="1653"/>
        <c:spPr>
          <a:solidFill>
            <a:schemeClr val="accent1"/>
          </a:solidFill>
          <a:ln w="19050">
            <a:solidFill>
              <a:schemeClr val="lt1"/>
            </a:solidFill>
          </a:ln>
          <a:effectLst/>
        </c:spPr>
      </c:pivotFmt>
      <c:pivotFmt>
        <c:idx val="1654"/>
        <c:spPr>
          <a:solidFill>
            <a:schemeClr val="accent1"/>
          </a:solidFill>
          <a:ln w="19050">
            <a:solidFill>
              <a:schemeClr val="lt1"/>
            </a:solidFill>
          </a:ln>
          <a:effectLst/>
        </c:spPr>
      </c:pivotFmt>
      <c:pivotFmt>
        <c:idx val="1655"/>
        <c:spPr>
          <a:solidFill>
            <a:schemeClr val="accent1"/>
          </a:solidFill>
          <a:ln w="19050">
            <a:solidFill>
              <a:schemeClr val="lt1"/>
            </a:solidFill>
          </a:ln>
          <a:effectLst/>
        </c:spPr>
      </c:pivotFmt>
      <c:pivotFmt>
        <c:idx val="16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7"/>
        <c:spPr>
          <a:solidFill>
            <a:schemeClr val="accent1"/>
          </a:solidFill>
          <a:ln w="19050">
            <a:solidFill>
              <a:schemeClr val="lt1"/>
            </a:solidFill>
          </a:ln>
          <a:effectLst/>
        </c:spPr>
      </c:pivotFmt>
      <c:pivotFmt>
        <c:idx val="1658"/>
        <c:spPr>
          <a:solidFill>
            <a:schemeClr val="accent1"/>
          </a:solidFill>
          <a:ln w="19050">
            <a:solidFill>
              <a:schemeClr val="lt1"/>
            </a:solidFill>
          </a:ln>
          <a:effectLst/>
        </c:spPr>
      </c:pivotFmt>
      <c:pivotFmt>
        <c:idx val="1659"/>
        <c:spPr>
          <a:solidFill>
            <a:schemeClr val="accent1"/>
          </a:solidFill>
          <a:ln w="19050">
            <a:solidFill>
              <a:schemeClr val="lt1"/>
            </a:solidFill>
          </a:ln>
          <a:effectLst/>
        </c:spPr>
      </c:pivotFmt>
      <c:pivotFmt>
        <c:idx val="1660"/>
        <c:spPr>
          <a:solidFill>
            <a:schemeClr val="accent1"/>
          </a:solidFill>
          <a:ln w="19050">
            <a:solidFill>
              <a:schemeClr val="lt1"/>
            </a:solidFill>
          </a:ln>
          <a:effectLst/>
        </c:spPr>
      </c:pivotFmt>
      <c:pivotFmt>
        <c:idx val="1661"/>
        <c:spPr>
          <a:solidFill>
            <a:schemeClr val="accent1"/>
          </a:solidFill>
          <a:ln w="19050">
            <a:solidFill>
              <a:schemeClr val="lt1"/>
            </a:solidFill>
          </a:ln>
          <a:effectLst/>
        </c:spPr>
      </c:pivotFmt>
      <c:pivotFmt>
        <c:idx val="1662"/>
        <c:spPr>
          <a:solidFill>
            <a:schemeClr val="accent1"/>
          </a:solidFill>
          <a:ln w="19050">
            <a:solidFill>
              <a:schemeClr val="lt1"/>
            </a:solidFill>
          </a:ln>
          <a:effectLst/>
        </c:spPr>
      </c:pivotFmt>
      <c:pivotFmt>
        <c:idx val="1663"/>
        <c:spPr>
          <a:solidFill>
            <a:schemeClr val="accent1"/>
          </a:solidFill>
          <a:ln w="19050">
            <a:solidFill>
              <a:schemeClr val="lt1"/>
            </a:solidFill>
          </a:ln>
          <a:effectLst/>
        </c:spPr>
      </c:pivotFmt>
      <c:pivotFmt>
        <c:idx val="1664"/>
        <c:spPr>
          <a:solidFill>
            <a:schemeClr val="accent1"/>
          </a:solidFill>
          <a:ln w="19050">
            <a:solidFill>
              <a:schemeClr val="lt1"/>
            </a:solidFill>
          </a:ln>
          <a:effectLst/>
        </c:spPr>
      </c:pivotFmt>
      <c:pivotFmt>
        <c:idx val="1665"/>
        <c:spPr>
          <a:solidFill>
            <a:schemeClr val="accent1"/>
          </a:solidFill>
          <a:ln w="19050">
            <a:solidFill>
              <a:schemeClr val="lt1"/>
            </a:solidFill>
          </a:ln>
          <a:effectLst/>
        </c:spPr>
      </c:pivotFmt>
      <c:pivotFmt>
        <c:idx val="1666"/>
        <c:spPr>
          <a:solidFill>
            <a:schemeClr val="accent1"/>
          </a:solidFill>
          <a:ln w="19050">
            <a:solidFill>
              <a:schemeClr val="lt1"/>
            </a:solidFill>
          </a:ln>
          <a:effectLst/>
        </c:spPr>
      </c:pivotFmt>
      <c:pivotFmt>
        <c:idx val="1667"/>
        <c:spPr>
          <a:solidFill>
            <a:schemeClr val="accent1"/>
          </a:solidFill>
          <a:ln w="19050">
            <a:solidFill>
              <a:schemeClr val="lt1"/>
            </a:solidFill>
          </a:ln>
          <a:effectLst/>
        </c:spPr>
      </c:pivotFmt>
      <c:pivotFmt>
        <c:idx val="1668"/>
        <c:spPr>
          <a:solidFill>
            <a:schemeClr val="accent1"/>
          </a:solidFill>
          <a:ln w="19050">
            <a:solidFill>
              <a:schemeClr val="lt1"/>
            </a:solidFill>
          </a:ln>
          <a:effectLst/>
        </c:spPr>
      </c:pivotFmt>
      <c:pivotFmt>
        <c:idx val="1669"/>
        <c:spPr>
          <a:solidFill>
            <a:schemeClr val="accent1"/>
          </a:solidFill>
          <a:ln w="19050">
            <a:solidFill>
              <a:schemeClr val="lt1"/>
            </a:solidFill>
          </a:ln>
          <a:effectLst/>
        </c:spPr>
      </c:pivotFmt>
      <c:pivotFmt>
        <c:idx val="1670"/>
        <c:spPr>
          <a:solidFill>
            <a:schemeClr val="accent1"/>
          </a:solidFill>
          <a:ln w="19050">
            <a:solidFill>
              <a:schemeClr val="lt1"/>
            </a:solidFill>
          </a:ln>
          <a:effectLst/>
        </c:spPr>
      </c:pivotFmt>
      <c:pivotFmt>
        <c:idx val="1671"/>
        <c:spPr>
          <a:solidFill>
            <a:schemeClr val="accent1"/>
          </a:solidFill>
          <a:ln w="19050">
            <a:solidFill>
              <a:schemeClr val="lt1"/>
            </a:solidFill>
          </a:ln>
          <a:effectLst/>
        </c:spPr>
      </c:pivotFmt>
      <c:pivotFmt>
        <c:idx val="1672"/>
        <c:spPr>
          <a:solidFill>
            <a:schemeClr val="accent1"/>
          </a:solidFill>
          <a:ln w="19050">
            <a:solidFill>
              <a:schemeClr val="lt1"/>
            </a:solidFill>
          </a:ln>
          <a:effectLst/>
        </c:spPr>
      </c:pivotFmt>
      <c:pivotFmt>
        <c:idx val="1673"/>
        <c:spPr>
          <a:solidFill>
            <a:schemeClr val="accent1"/>
          </a:solidFill>
          <a:ln w="19050">
            <a:solidFill>
              <a:schemeClr val="lt1"/>
            </a:solidFill>
          </a:ln>
          <a:effectLst/>
        </c:spPr>
      </c:pivotFmt>
      <c:pivotFmt>
        <c:idx val="1674"/>
        <c:spPr>
          <a:solidFill>
            <a:schemeClr val="accent1"/>
          </a:solidFill>
          <a:ln w="19050">
            <a:solidFill>
              <a:schemeClr val="lt1"/>
            </a:solidFill>
          </a:ln>
          <a:effectLst/>
        </c:spPr>
      </c:pivotFmt>
      <c:pivotFmt>
        <c:idx val="1675"/>
        <c:spPr>
          <a:solidFill>
            <a:schemeClr val="accent1"/>
          </a:solidFill>
          <a:ln w="19050">
            <a:solidFill>
              <a:schemeClr val="lt1"/>
            </a:solidFill>
          </a:ln>
          <a:effectLst/>
        </c:spPr>
      </c:pivotFmt>
      <c:pivotFmt>
        <c:idx val="1676"/>
        <c:spPr>
          <a:solidFill>
            <a:schemeClr val="accent1"/>
          </a:solidFill>
          <a:ln w="19050">
            <a:solidFill>
              <a:schemeClr val="lt1"/>
            </a:solidFill>
          </a:ln>
          <a:effectLst/>
        </c:spPr>
      </c:pivotFmt>
      <c:pivotFmt>
        <c:idx val="1677"/>
        <c:spPr>
          <a:solidFill>
            <a:schemeClr val="accent1"/>
          </a:solidFill>
          <a:ln w="19050">
            <a:solidFill>
              <a:schemeClr val="lt1"/>
            </a:solidFill>
          </a:ln>
          <a:effectLst/>
        </c:spPr>
      </c:pivotFmt>
      <c:pivotFmt>
        <c:idx val="1678"/>
        <c:spPr>
          <a:solidFill>
            <a:schemeClr val="accent1"/>
          </a:solidFill>
          <a:ln w="19050">
            <a:solidFill>
              <a:schemeClr val="lt1"/>
            </a:solidFill>
          </a:ln>
          <a:effectLst/>
        </c:spPr>
      </c:pivotFmt>
      <c:pivotFmt>
        <c:idx val="1679"/>
        <c:spPr>
          <a:solidFill>
            <a:schemeClr val="accent1"/>
          </a:solidFill>
          <a:ln w="19050">
            <a:solidFill>
              <a:schemeClr val="lt1"/>
            </a:solidFill>
          </a:ln>
          <a:effectLst/>
        </c:spPr>
      </c:pivotFmt>
      <c:pivotFmt>
        <c:idx val="1680"/>
        <c:spPr>
          <a:solidFill>
            <a:schemeClr val="accent1"/>
          </a:solidFill>
          <a:ln w="19050">
            <a:solidFill>
              <a:schemeClr val="lt1"/>
            </a:solidFill>
          </a:ln>
          <a:effectLst/>
        </c:spPr>
      </c:pivotFmt>
      <c:pivotFmt>
        <c:idx val="1681"/>
        <c:spPr>
          <a:solidFill>
            <a:schemeClr val="accent1"/>
          </a:solidFill>
          <a:ln w="19050">
            <a:solidFill>
              <a:schemeClr val="lt1"/>
            </a:solidFill>
          </a:ln>
          <a:effectLst/>
        </c:spPr>
      </c:pivotFmt>
      <c:pivotFmt>
        <c:idx val="1682"/>
        <c:spPr>
          <a:solidFill>
            <a:schemeClr val="accent1"/>
          </a:solidFill>
          <a:ln w="19050">
            <a:solidFill>
              <a:schemeClr val="lt1"/>
            </a:solidFill>
          </a:ln>
          <a:effectLst/>
        </c:spPr>
      </c:pivotFmt>
      <c:pivotFmt>
        <c:idx val="16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4"/>
        <c:spPr>
          <a:solidFill>
            <a:schemeClr val="accent1"/>
          </a:solidFill>
          <a:ln w="19050">
            <a:solidFill>
              <a:schemeClr val="lt1"/>
            </a:solidFill>
          </a:ln>
          <a:effectLst/>
        </c:spPr>
      </c:pivotFmt>
      <c:pivotFmt>
        <c:idx val="1685"/>
        <c:spPr>
          <a:solidFill>
            <a:schemeClr val="accent1"/>
          </a:solidFill>
          <a:ln w="19050">
            <a:solidFill>
              <a:schemeClr val="lt1"/>
            </a:solidFill>
          </a:ln>
          <a:effectLst/>
        </c:spPr>
      </c:pivotFmt>
      <c:pivotFmt>
        <c:idx val="1686"/>
        <c:spPr>
          <a:solidFill>
            <a:schemeClr val="accent1"/>
          </a:solidFill>
          <a:ln w="19050">
            <a:solidFill>
              <a:schemeClr val="lt1"/>
            </a:solidFill>
          </a:ln>
          <a:effectLst/>
        </c:spPr>
      </c:pivotFmt>
      <c:pivotFmt>
        <c:idx val="1687"/>
        <c:spPr>
          <a:solidFill>
            <a:schemeClr val="accent1"/>
          </a:solidFill>
          <a:ln w="19050">
            <a:solidFill>
              <a:schemeClr val="lt1"/>
            </a:solidFill>
          </a:ln>
          <a:effectLst/>
        </c:spPr>
      </c:pivotFmt>
      <c:pivotFmt>
        <c:idx val="1688"/>
        <c:spPr>
          <a:solidFill>
            <a:schemeClr val="accent1"/>
          </a:solidFill>
          <a:ln w="19050">
            <a:solidFill>
              <a:schemeClr val="lt1"/>
            </a:solidFill>
          </a:ln>
          <a:effectLst/>
        </c:spPr>
      </c:pivotFmt>
      <c:pivotFmt>
        <c:idx val="1689"/>
        <c:spPr>
          <a:solidFill>
            <a:schemeClr val="accent1"/>
          </a:solidFill>
          <a:ln w="19050">
            <a:solidFill>
              <a:schemeClr val="lt1"/>
            </a:solidFill>
          </a:ln>
          <a:effectLst/>
        </c:spPr>
      </c:pivotFmt>
      <c:pivotFmt>
        <c:idx val="1690"/>
        <c:spPr>
          <a:solidFill>
            <a:schemeClr val="accent1"/>
          </a:solidFill>
          <a:ln w="19050">
            <a:solidFill>
              <a:schemeClr val="lt1"/>
            </a:solidFill>
          </a:ln>
          <a:effectLst/>
        </c:spPr>
      </c:pivotFmt>
      <c:pivotFmt>
        <c:idx val="1691"/>
        <c:spPr>
          <a:solidFill>
            <a:schemeClr val="accent1"/>
          </a:solidFill>
          <a:ln w="19050">
            <a:solidFill>
              <a:schemeClr val="lt1"/>
            </a:solidFill>
          </a:ln>
          <a:effectLst/>
        </c:spPr>
      </c:pivotFmt>
      <c:pivotFmt>
        <c:idx val="1692"/>
        <c:spPr>
          <a:solidFill>
            <a:schemeClr val="accent1"/>
          </a:solidFill>
          <a:ln w="19050">
            <a:solidFill>
              <a:schemeClr val="lt1"/>
            </a:solidFill>
          </a:ln>
          <a:effectLst/>
        </c:spPr>
      </c:pivotFmt>
      <c:pivotFmt>
        <c:idx val="1693"/>
        <c:spPr>
          <a:solidFill>
            <a:schemeClr val="accent1"/>
          </a:solidFill>
          <a:ln w="19050">
            <a:solidFill>
              <a:schemeClr val="lt1"/>
            </a:solidFill>
          </a:ln>
          <a:effectLst/>
        </c:spPr>
      </c:pivotFmt>
      <c:pivotFmt>
        <c:idx val="1694"/>
        <c:spPr>
          <a:solidFill>
            <a:schemeClr val="accent1"/>
          </a:solidFill>
          <a:ln w="19050">
            <a:solidFill>
              <a:schemeClr val="lt1"/>
            </a:solidFill>
          </a:ln>
          <a:effectLst/>
        </c:spPr>
      </c:pivotFmt>
      <c:pivotFmt>
        <c:idx val="1695"/>
        <c:spPr>
          <a:solidFill>
            <a:schemeClr val="accent1"/>
          </a:solidFill>
          <a:ln w="19050">
            <a:solidFill>
              <a:schemeClr val="lt1"/>
            </a:solidFill>
          </a:ln>
          <a:effectLst/>
        </c:spPr>
      </c:pivotFmt>
      <c:pivotFmt>
        <c:idx val="1696"/>
        <c:spPr>
          <a:solidFill>
            <a:schemeClr val="accent1"/>
          </a:solidFill>
          <a:ln w="19050">
            <a:solidFill>
              <a:schemeClr val="lt1"/>
            </a:solidFill>
          </a:ln>
          <a:effectLst/>
        </c:spPr>
      </c:pivotFmt>
      <c:pivotFmt>
        <c:idx val="1697"/>
        <c:spPr>
          <a:solidFill>
            <a:schemeClr val="accent1"/>
          </a:solidFill>
          <a:ln w="19050">
            <a:solidFill>
              <a:schemeClr val="lt1"/>
            </a:solidFill>
          </a:ln>
          <a:effectLst/>
        </c:spPr>
      </c:pivotFmt>
      <c:pivotFmt>
        <c:idx val="1698"/>
        <c:spPr>
          <a:solidFill>
            <a:schemeClr val="accent1"/>
          </a:solidFill>
          <a:ln w="19050">
            <a:solidFill>
              <a:schemeClr val="lt1"/>
            </a:solidFill>
          </a:ln>
          <a:effectLst/>
        </c:spPr>
      </c:pivotFmt>
      <c:pivotFmt>
        <c:idx val="1699"/>
        <c:spPr>
          <a:solidFill>
            <a:schemeClr val="accent1"/>
          </a:solidFill>
          <a:ln w="19050">
            <a:solidFill>
              <a:schemeClr val="lt1"/>
            </a:solidFill>
          </a:ln>
          <a:effectLst/>
        </c:spPr>
      </c:pivotFmt>
      <c:pivotFmt>
        <c:idx val="1700"/>
        <c:spPr>
          <a:solidFill>
            <a:schemeClr val="accent1"/>
          </a:solidFill>
          <a:ln w="19050">
            <a:solidFill>
              <a:schemeClr val="lt1"/>
            </a:solidFill>
          </a:ln>
          <a:effectLst/>
        </c:spPr>
      </c:pivotFmt>
      <c:pivotFmt>
        <c:idx val="1701"/>
        <c:spPr>
          <a:solidFill>
            <a:schemeClr val="accent1"/>
          </a:solidFill>
          <a:ln w="19050">
            <a:solidFill>
              <a:schemeClr val="lt1"/>
            </a:solidFill>
          </a:ln>
          <a:effectLst/>
        </c:spPr>
      </c:pivotFmt>
      <c:pivotFmt>
        <c:idx val="1702"/>
        <c:spPr>
          <a:solidFill>
            <a:schemeClr val="accent1"/>
          </a:solidFill>
          <a:ln w="19050">
            <a:solidFill>
              <a:schemeClr val="lt1"/>
            </a:solidFill>
          </a:ln>
          <a:effectLst/>
        </c:spPr>
      </c:pivotFmt>
      <c:pivotFmt>
        <c:idx val="1703"/>
        <c:spPr>
          <a:solidFill>
            <a:schemeClr val="accent1"/>
          </a:solidFill>
          <a:ln w="19050">
            <a:solidFill>
              <a:schemeClr val="lt1"/>
            </a:solidFill>
          </a:ln>
          <a:effectLst/>
        </c:spPr>
      </c:pivotFmt>
      <c:pivotFmt>
        <c:idx val="1704"/>
        <c:spPr>
          <a:solidFill>
            <a:schemeClr val="accent1"/>
          </a:solidFill>
          <a:ln w="19050">
            <a:solidFill>
              <a:schemeClr val="lt1"/>
            </a:solidFill>
          </a:ln>
          <a:effectLst/>
        </c:spPr>
      </c:pivotFmt>
      <c:pivotFmt>
        <c:idx val="1705"/>
        <c:spPr>
          <a:solidFill>
            <a:schemeClr val="accent1"/>
          </a:solidFill>
          <a:ln w="19050">
            <a:solidFill>
              <a:schemeClr val="lt1"/>
            </a:solidFill>
          </a:ln>
          <a:effectLst/>
        </c:spPr>
      </c:pivotFmt>
      <c:pivotFmt>
        <c:idx val="1706"/>
        <c:spPr>
          <a:solidFill>
            <a:schemeClr val="accent1"/>
          </a:solidFill>
          <a:ln w="19050">
            <a:solidFill>
              <a:schemeClr val="lt1"/>
            </a:solidFill>
          </a:ln>
          <a:effectLst/>
        </c:spPr>
      </c:pivotFmt>
      <c:pivotFmt>
        <c:idx val="1707"/>
        <c:spPr>
          <a:solidFill>
            <a:schemeClr val="accent1"/>
          </a:solidFill>
          <a:ln w="19050">
            <a:solidFill>
              <a:schemeClr val="lt1"/>
            </a:solidFill>
          </a:ln>
          <a:effectLst/>
        </c:spPr>
      </c:pivotFmt>
      <c:pivotFmt>
        <c:idx val="1708"/>
        <c:spPr>
          <a:solidFill>
            <a:schemeClr val="accent1"/>
          </a:solidFill>
          <a:ln w="19050">
            <a:solidFill>
              <a:schemeClr val="lt1"/>
            </a:solidFill>
          </a:ln>
          <a:effectLst/>
        </c:spPr>
      </c:pivotFmt>
      <c:pivotFmt>
        <c:idx val="1709"/>
        <c:spPr>
          <a:solidFill>
            <a:schemeClr val="accent1"/>
          </a:solidFill>
          <a:ln w="19050">
            <a:solidFill>
              <a:schemeClr val="lt1"/>
            </a:solidFill>
          </a:ln>
          <a:effectLst/>
        </c:spPr>
      </c:pivotFmt>
      <c:pivotFmt>
        <c:idx val="17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1"/>
        <c:spPr>
          <a:solidFill>
            <a:schemeClr val="accent1"/>
          </a:solidFill>
          <a:ln w="19050">
            <a:solidFill>
              <a:schemeClr val="lt1"/>
            </a:solidFill>
          </a:ln>
          <a:effectLst/>
        </c:spPr>
      </c:pivotFmt>
      <c:pivotFmt>
        <c:idx val="1712"/>
        <c:spPr>
          <a:solidFill>
            <a:schemeClr val="accent1"/>
          </a:solidFill>
          <a:ln w="19050">
            <a:solidFill>
              <a:schemeClr val="lt1"/>
            </a:solidFill>
          </a:ln>
          <a:effectLst/>
        </c:spPr>
      </c:pivotFmt>
      <c:pivotFmt>
        <c:idx val="1713"/>
        <c:spPr>
          <a:solidFill>
            <a:schemeClr val="accent1"/>
          </a:solidFill>
          <a:ln w="19050">
            <a:solidFill>
              <a:schemeClr val="lt1"/>
            </a:solidFill>
          </a:ln>
          <a:effectLst/>
        </c:spPr>
      </c:pivotFmt>
      <c:pivotFmt>
        <c:idx val="1714"/>
        <c:spPr>
          <a:solidFill>
            <a:schemeClr val="accent1"/>
          </a:solidFill>
          <a:ln w="19050">
            <a:solidFill>
              <a:schemeClr val="lt1"/>
            </a:solidFill>
          </a:ln>
          <a:effectLst/>
        </c:spPr>
      </c:pivotFmt>
      <c:pivotFmt>
        <c:idx val="1715"/>
        <c:spPr>
          <a:solidFill>
            <a:schemeClr val="accent1"/>
          </a:solidFill>
          <a:ln w="19050">
            <a:solidFill>
              <a:schemeClr val="lt1"/>
            </a:solidFill>
          </a:ln>
          <a:effectLst/>
        </c:spPr>
      </c:pivotFmt>
      <c:pivotFmt>
        <c:idx val="1716"/>
        <c:spPr>
          <a:solidFill>
            <a:schemeClr val="accent1"/>
          </a:solidFill>
          <a:ln w="19050">
            <a:solidFill>
              <a:schemeClr val="lt1"/>
            </a:solidFill>
          </a:ln>
          <a:effectLst/>
        </c:spPr>
      </c:pivotFmt>
      <c:pivotFmt>
        <c:idx val="1717"/>
        <c:spPr>
          <a:solidFill>
            <a:schemeClr val="accent1"/>
          </a:solidFill>
          <a:ln w="19050">
            <a:solidFill>
              <a:schemeClr val="lt1"/>
            </a:solidFill>
          </a:ln>
          <a:effectLst/>
        </c:spPr>
      </c:pivotFmt>
      <c:pivotFmt>
        <c:idx val="1718"/>
        <c:spPr>
          <a:solidFill>
            <a:schemeClr val="accent1"/>
          </a:solidFill>
          <a:ln w="19050">
            <a:solidFill>
              <a:schemeClr val="lt1"/>
            </a:solidFill>
          </a:ln>
          <a:effectLst/>
        </c:spPr>
      </c:pivotFmt>
      <c:pivotFmt>
        <c:idx val="1719"/>
        <c:spPr>
          <a:solidFill>
            <a:schemeClr val="accent1"/>
          </a:solidFill>
          <a:ln w="19050">
            <a:solidFill>
              <a:schemeClr val="lt1"/>
            </a:solidFill>
          </a:ln>
          <a:effectLst/>
        </c:spPr>
      </c:pivotFmt>
      <c:pivotFmt>
        <c:idx val="1720"/>
        <c:spPr>
          <a:solidFill>
            <a:schemeClr val="accent1"/>
          </a:solidFill>
          <a:ln w="19050">
            <a:solidFill>
              <a:schemeClr val="lt1"/>
            </a:solidFill>
          </a:ln>
          <a:effectLst/>
        </c:spPr>
      </c:pivotFmt>
      <c:pivotFmt>
        <c:idx val="1721"/>
        <c:spPr>
          <a:solidFill>
            <a:schemeClr val="accent1"/>
          </a:solidFill>
          <a:ln w="19050">
            <a:solidFill>
              <a:schemeClr val="lt1"/>
            </a:solidFill>
          </a:ln>
          <a:effectLst/>
        </c:spPr>
      </c:pivotFmt>
      <c:pivotFmt>
        <c:idx val="1722"/>
        <c:spPr>
          <a:solidFill>
            <a:schemeClr val="accent1"/>
          </a:solidFill>
          <a:ln w="19050">
            <a:solidFill>
              <a:schemeClr val="lt1"/>
            </a:solidFill>
          </a:ln>
          <a:effectLst/>
        </c:spPr>
      </c:pivotFmt>
      <c:pivotFmt>
        <c:idx val="1723"/>
        <c:spPr>
          <a:solidFill>
            <a:schemeClr val="accent1"/>
          </a:solidFill>
          <a:ln w="19050">
            <a:solidFill>
              <a:schemeClr val="lt1"/>
            </a:solidFill>
          </a:ln>
          <a:effectLst/>
        </c:spPr>
      </c:pivotFmt>
      <c:pivotFmt>
        <c:idx val="1724"/>
        <c:spPr>
          <a:solidFill>
            <a:schemeClr val="accent1"/>
          </a:solidFill>
          <a:ln w="19050">
            <a:solidFill>
              <a:schemeClr val="lt1"/>
            </a:solidFill>
          </a:ln>
          <a:effectLst/>
        </c:spPr>
      </c:pivotFmt>
      <c:pivotFmt>
        <c:idx val="1725"/>
        <c:spPr>
          <a:solidFill>
            <a:schemeClr val="accent1"/>
          </a:solidFill>
          <a:ln w="19050">
            <a:solidFill>
              <a:schemeClr val="lt1"/>
            </a:solidFill>
          </a:ln>
          <a:effectLst/>
        </c:spPr>
      </c:pivotFmt>
      <c:pivotFmt>
        <c:idx val="1726"/>
        <c:spPr>
          <a:solidFill>
            <a:schemeClr val="accent1"/>
          </a:solidFill>
          <a:ln w="19050">
            <a:solidFill>
              <a:schemeClr val="lt1"/>
            </a:solidFill>
          </a:ln>
          <a:effectLst/>
        </c:spPr>
      </c:pivotFmt>
      <c:pivotFmt>
        <c:idx val="1727"/>
        <c:spPr>
          <a:solidFill>
            <a:schemeClr val="accent1"/>
          </a:solidFill>
          <a:ln w="19050">
            <a:solidFill>
              <a:schemeClr val="lt1"/>
            </a:solidFill>
          </a:ln>
          <a:effectLst/>
        </c:spPr>
      </c:pivotFmt>
      <c:pivotFmt>
        <c:idx val="1728"/>
        <c:spPr>
          <a:solidFill>
            <a:schemeClr val="accent1"/>
          </a:solidFill>
          <a:ln w="19050">
            <a:solidFill>
              <a:schemeClr val="lt1"/>
            </a:solidFill>
          </a:ln>
          <a:effectLst/>
        </c:spPr>
      </c:pivotFmt>
      <c:pivotFmt>
        <c:idx val="1729"/>
        <c:spPr>
          <a:solidFill>
            <a:schemeClr val="accent1"/>
          </a:solidFill>
          <a:ln w="19050">
            <a:solidFill>
              <a:schemeClr val="lt1"/>
            </a:solidFill>
          </a:ln>
          <a:effectLst/>
        </c:spPr>
      </c:pivotFmt>
      <c:pivotFmt>
        <c:idx val="1730"/>
        <c:spPr>
          <a:solidFill>
            <a:schemeClr val="accent1"/>
          </a:solidFill>
          <a:ln w="19050">
            <a:solidFill>
              <a:schemeClr val="lt1"/>
            </a:solidFill>
          </a:ln>
          <a:effectLst/>
        </c:spPr>
      </c:pivotFmt>
      <c:pivotFmt>
        <c:idx val="1731"/>
        <c:spPr>
          <a:solidFill>
            <a:schemeClr val="accent1"/>
          </a:solidFill>
          <a:ln w="19050">
            <a:solidFill>
              <a:schemeClr val="lt1"/>
            </a:solidFill>
          </a:ln>
          <a:effectLst/>
        </c:spPr>
      </c:pivotFmt>
      <c:pivotFmt>
        <c:idx val="1732"/>
        <c:spPr>
          <a:solidFill>
            <a:schemeClr val="accent1"/>
          </a:solidFill>
          <a:ln w="19050">
            <a:solidFill>
              <a:schemeClr val="lt1"/>
            </a:solidFill>
          </a:ln>
          <a:effectLst/>
        </c:spPr>
      </c:pivotFmt>
      <c:pivotFmt>
        <c:idx val="1733"/>
        <c:spPr>
          <a:solidFill>
            <a:schemeClr val="accent1"/>
          </a:solidFill>
          <a:ln w="19050">
            <a:solidFill>
              <a:schemeClr val="lt1"/>
            </a:solidFill>
          </a:ln>
          <a:effectLst/>
        </c:spPr>
      </c:pivotFmt>
      <c:pivotFmt>
        <c:idx val="1734"/>
        <c:spPr>
          <a:solidFill>
            <a:schemeClr val="accent1"/>
          </a:solidFill>
          <a:ln w="19050">
            <a:solidFill>
              <a:schemeClr val="lt1"/>
            </a:solidFill>
          </a:ln>
          <a:effectLst/>
        </c:spPr>
      </c:pivotFmt>
      <c:pivotFmt>
        <c:idx val="1735"/>
        <c:spPr>
          <a:solidFill>
            <a:schemeClr val="accent1"/>
          </a:solidFill>
          <a:ln w="19050">
            <a:solidFill>
              <a:schemeClr val="lt1"/>
            </a:solidFill>
          </a:ln>
          <a:effectLst/>
        </c:spPr>
      </c:pivotFmt>
      <c:pivotFmt>
        <c:idx val="1736"/>
        <c:spPr>
          <a:solidFill>
            <a:schemeClr val="accent1"/>
          </a:solidFill>
          <a:ln w="19050">
            <a:solidFill>
              <a:schemeClr val="lt1"/>
            </a:solidFill>
          </a:ln>
          <a:effectLst/>
        </c:spPr>
      </c:pivotFmt>
      <c:pivotFmt>
        <c:idx val="17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8"/>
        <c:spPr>
          <a:solidFill>
            <a:schemeClr val="accent1"/>
          </a:solidFill>
          <a:ln w="19050">
            <a:solidFill>
              <a:schemeClr val="lt1"/>
            </a:solidFill>
          </a:ln>
          <a:effectLst/>
        </c:spPr>
      </c:pivotFmt>
      <c:pivotFmt>
        <c:idx val="1739"/>
        <c:spPr>
          <a:solidFill>
            <a:schemeClr val="accent1"/>
          </a:solidFill>
          <a:ln w="19050">
            <a:solidFill>
              <a:schemeClr val="lt1"/>
            </a:solidFill>
          </a:ln>
          <a:effectLst/>
        </c:spPr>
      </c:pivotFmt>
      <c:pivotFmt>
        <c:idx val="1740"/>
        <c:spPr>
          <a:solidFill>
            <a:schemeClr val="accent1"/>
          </a:solidFill>
          <a:ln w="19050">
            <a:solidFill>
              <a:schemeClr val="lt1"/>
            </a:solidFill>
          </a:ln>
          <a:effectLst/>
        </c:spPr>
      </c:pivotFmt>
      <c:pivotFmt>
        <c:idx val="1741"/>
        <c:spPr>
          <a:solidFill>
            <a:schemeClr val="accent1"/>
          </a:solidFill>
          <a:ln w="19050">
            <a:solidFill>
              <a:schemeClr val="lt1"/>
            </a:solidFill>
          </a:ln>
          <a:effectLst/>
        </c:spPr>
      </c:pivotFmt>
      <c:pivotFmt>
        <c:idx val="1742"/>
        <c:spPr>
          <a:solidFill>
            <a:schemeClr val="accent1"/>
          </a:solidFill>
          <a:ln w="19050">
            <a:solidFill>
              <a:schemeClr val="lt1"/>
            </a:solidFill>
          </a:ln>
          <a:effectLst/>
        </c:spPr>
      </c:pivotFmt>
      <c:pivotFmt>
        <c:idx val="1743"/>
        <c:spPr>
          <a:solidFill>
            <a:schemeClr val="accent1"/>
          </a:solidFill>
          <a:ln w="19050">
            <a:solidFill>
              <a:schemeClr val="lt1"/>
            </a:solidFill>
          </a:ln>
          <a:effectLst/>
        </c:spPr>
      </c:pivotFmt>
      <c:pivotFmt>
        <c:idx val="1744"/>
        <c:spPr>
          <a:solidFill>
            <a:schemeClr val="accent1"/>
          </a:solidFill>
          <a:ln w="19050">
            <a:solidFill>
              <a:schemeClr val="lt1"/>
            </a:solidFill>
          </a:ln>
          <a:effectLst/>
        </c:spPr>
      </c:pivotFmt>
      <c:pivotFmt>
        <c:idx val="1745"/>
        <c:spPr>
          <a:solidFill>
            <a:schemeClr val="accent1"/>
          </a:solidFill>
          <a:ln w="19050">
            <a:solidFill>
              <a:schemeClr val="lt1"/>
            </a:solidFill>
          </a:ln>
          <a:effectLst/>
        </c:spPr>
      </c:pivotFmt>
      <c:pivotFmt>
        <c:idx val="1746"/>
        <c:spPr>
          <a:solidFill>
            <a:schemeClr val="accent1"/>
          </a:solidFill>
          <a:ln w="19050">
            <a:solidFill>
              <a:schemeClr val="lt1"/>
            </a:solidFill>
          </a:ln>
          <a:effectLst/>
        </c:spPr>
      </c:pivotFmt>
      <c:pivotFmt>
        <c:idx val="1747"/>
        <c:spPr>
          <a:solidFill>
            <a:schemeClr val="accent1"/>
          </a:solidFill>
          <a:ln w="19050">
            <a:solidFill>
              <a:schemeClr val="lt1"/>
            </a:solidFill>
          </a:ln>
          <a:effectLst/>
        </c:spPr>
      </c:pivotFmt>
      <c:pivotFmt>
        <c:idx val="1748"/>
        <c:spPr>
          <a:solidFill>
            <a:schemeClr val="accent1"/>
          </a:solidFill>
          <a:ln w="19050">
            <a:solidFill>
              <a:schemeClr val="lt1"/>
            </a:solidFill>
          </a:ln>
          <a:effectLst/>
        </c:spPr>
      </c:pivotFmt>
      <c:pivotFmt>
        <c:idx val="1749"/>
        <c:spPr>
          <a:solidFill>
            <a:schemeClr val="accent1"/>
          </a:solidFill>
          <a:ln w="19050">
            <a:solidFill>
              <a:schemeClr val="lt1"/>
            </a:solidFill>
          </a:ln>
          <a:effectLst/>
        </c:spPr>
      </c:pivotFmt>
      <c:pivotFmt>
        <c:idx val="1750"/>
        <c:spPr>
          <a:solidFill>
            <a:schemeClr val="accent1"/>
          </a:solidFill>
          <a:ln w="19050">
            <a:solidFill>
              <a:schemeClr val="lt1"/>
            </a:solidFill>
          </a:ln>
          <a:effectLst/>
        </c:spPr>
      </c:pivotFmt>
      <c:pivotFmt>
        <c:idx val="1751"/>
        <c:spPr>
          <a:solidFill>
            <a:schemeClr val="accent1"/>
          </a:solidFill>
          <a:ln w="19050">
            <a:solidFill>
              <a:schemeClr val="lt1"/>
            </a:solidFill>
          </a:ln>
          <a:effectLst/>
        </c:spPr>
      </c:pivotFmt>
      <c:pivotFmt>
        <c:idx val="1752"/>
        <c:spPr>
          <a:solidFill>
            <a:schemeClr val="accent1"/>
          </a:solidFill>
          <a:ln w="19050">
            <a:solidFill>
              <a:schemeClr val="lt1"/>
            </a:solidFill>
          </a:ln>
          <a:effectLst/>
        </c:spPr>
      </c:pivotFmt>
      <c:pivotFmt>
        <c:idx val="1753"/>
        <c:spPr>
          <a:solidFill>
            <a:schemeClr val="accent1"/>
          </a:solidFill>
          <a:ln w="19050">
            <a:solidFill>
              <a:schemeClr val="lt1"/>
            </a:solidFill>
          </a:ln>
          <a:effectLst/>
        </c:spPr>
      </c:pivotFmt>
      <c:pivotFmt>
        <c:idx val="1754"/>
        <c:spPr>
          <a:solidFill>
            <a:schemeClr val="accent1"/>
          </a:solidFill>
          <a:ln w="19050">
            <a:solidFill>
              <a:schemeClr val="lt1"/>
            </a:solidFill>
          </a:ln>
          <a:effectLst/>
        </c:spPr>
      </c:pivotFmt>
      <c:pivotFmt>
        <c:idx val="1755"/>
        <c:spPr>
          <a:solidFill>
            <a:schemeClr val="accent1"/>
          </a:solidFill>
          <a:ln w="19050">
            <a:solidFill>
              <a:schemeClr val="lt1"/>
            </a:solidFill>
          </a:ln>
          <a:effectLst/>
        </c:spPr>
      </c:pivotFmt>
      <c:pivotFmt>
        <c:idx val="1756"/>
        <c:spPr>
          <a:solidFill>
            <a:schemeClr val="accent1"/>
          </a:solidFill>
          <a:ln w="19050">
            <a:solidFill>
              <a:schemeClr val="lt1"/>
            </a:solidFill>
          </a:ln>
          <a:effectLst/>
        </c:spPr>
      </c:pivotFmt>
      <c:pivotFmt>
        <c:idx val="1757"/>
        <c:spPr>
          <a:solidFill>
            <a:schemeClr val="accent1"/>
          </a:solidFill>
          <a:ln w="19050">
            <a:solidFill>
              <a:schemeClr val="lt1"/>
            </a:solidFill>
          </a:ln>
          <a:effectLst/>
        </c:spPr>
      </c:pivotFmt>
      <c:pivotFmt>
        <c:idx val="1758"/>
        <c:spPr>
          <a:solidFill>
            <a:schemeClr val="accent1"/>
          </a:solidFill>
          <a:ln w="19050">
            <a:solidFill>
              <a:schemeClr val="lt1"/>
            </a:solidFill>
          </a:ln>
          <a:effectLst/>
        </c:spPr>
      </c:pivotFmt>
      <c:pivotFmt>
        <c:idx val="1759"/>
        <c:spPr>
          <a:solidFill>
            <a:schemeClr val="accent1"/>
          </a:solidFill>
          <a:ln w="19050">
            <a:solidFill>
              <a:schemeClr val="lt1"/>
            </a:solidFill>
          </a:ln>
          <a:effectLst/>
        </c:spPr>
      </c:pivotFmt>
      <c:pivotFmt>
        <c:idx val="1760"/>
        <c:spPr>
          <a:solidFill>
            <a:schemeClr val="accent1"/>
          </a:solidFill>
          <a:ln w="19050">
            <a:solidFill>
              <a:schemeClr val="lt1"/>
            </a:solidFill>
          </a:ln>
          <a:effectLst/>
        </c:spPr>
      </c:pivotFmt>
      <c:pivotFmt>
        <c:idx val="1761"/>
        <c:spPr>
          <a:solidFill>
            <a:schemeClr val="accent1"/>
          </a:solidFill>
          <a:ln w="19050">
            <a:solidFill>
              <a:schemeClr val="lt1"/>
            </a:solidFill>
          </a:ln>
          <a:effectLst/>
        </c:spPr>
      </c:pivotFmt>
      <c:pivotFmt>
        <c:idx val="1762"/>
        <c:spPr>
          <a:solidFill>
            <a:schemeClr val="accent1"/>
          </a:solidFill>
          <a:ln w="19050">
            <a:solidFill>
              <a:schemeClr val="lt1"/>
            </a:solidFill>
          </a:ln>
          <a:effectLst/>
        </c:spPr>
      </c:pivotFmt>
      <c:pivotFmt>
        <c:idx val="1763"/>
        <c:spPr>
          <a:solidFill>
            <a:schemeClr val="accent1"/>
          </a:solidFill>
          <a:ln w="19050">
            <a:solidFill>
              <a:schemeClr val="lt1"/>
            </a:solidFill>
          </a:ln>
          <a:effectLst/>
        </c:spPr>
      </c:pivotFmt>
      <c:pivotFmt>
        <c:idx val="17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5"/>
        <c:spPr>
          <a:solidFill>
            <a:schemeClr val="accent1"/>
          </a:solidFill>
          <a:ln w="19050">
            <a:solidFill>
              <a:schemeClr val="lt1"/>
            </a:solidFill>
          </a:ln>
          <a:effectLst/>
        </c:spPr>
      </c:pivotFmt>
      <c:pivotFmt>
        <c:idx val="1766"/>
        <c:spPr>
          <a:solidFill>
            <a:schemeClr val="accent1"/>
          </a:solidFill>
          <a:ln w="19050">
            <a:solidFill>
              <a:schemeClr val="lt1"/>
            </a:solidFill>
          </a:ln>
          <a:effectLst/>
        </c:spPr>
      </c:pivotFmt>
      <c:pivotFmt>
        <c:idx val="1767"/>
        <c:spPr>
          <a:solidFill>
            <a:schemeClr val="accent1"/>
          </a:solidFill>
          <a:ln w="19050">
            <a:solidFill>
              <a:schemeClr val="lt1"/>
            </a:solidFill>
          </a:ln>
          <a:effectLst/>
        </c:spPr>
      </c:pivotFmt>
      <c:pivotFmt>
        <c:idx val="1768"/>
        <c:spPr>
          <a:solidFill>
            <a:schemeClr val="accent1"/>
          </a:solidFill>
          <a:ln w="19050">
            <a:solidFill>
              <a:schemeClr val="lt1"/>
            </a:solidFill>
          </a:ln>
          <a:effectLst/>
        </c:spPr>
      </c:pivotFmt>
      <c:pivotFmt>
        <c:idx val="1769"/>
        <c:spPr>
          <a:solidFill>
            <a:schemeClr val="accent1"/>
          </a:solidFill>
          <a:ln w="19050">
            <a:solidFill>
              <a:schemeClr val="lt1"/>
            </a:solidFill>
          </a:ln>
          <a:effectLst/>
        </c:spPr>
      </c:pivotFmt>
      <c:pivotFmt>
        <c:idx val="1770"/>
        <c:spPr>
          <a:solidFill>
            <a:schemeClr val="accent1"/>
          </a:solidFill>
          <a:ln w="19050">
            <a:solidFill>
              <a:schemeClr val="lt1"/>
            </a:solidFill>
          </a:ln>
          <a:effectLst/>
        </c:spPr>
      </c:pivotFmt>
      <c:pivotFmt>
        <c:idx val="1771"/>
        <c:spPr>
          <a:solidFill>
            <a:schemeClr val="accent1"/>
          </a:solidFill>
          <a:ln w="19050">
            <a:solidFill>
              <a:schemeClr val="lt1"/>
            </a:solidFill>
          </a:ln>
          <a:effectLst/>
        </c:spPr>
      </c:pivotFmt>
      <c:pivotFmt>
        <c:idx val="1772"/>
        <c:spPr>
          <a:solidFill>
            <a:schemeClr val="accent1"/>
          </a:solidFill>
          <a:ln w="19050">
            <a:solidFill>
              <a:schemeClr val="lt1"/>
            </a:solidFill>
          </a:ln>
          <a:effectLst/>
        </c:spPr>
      </c:pivotFmt>
      <c:pivotFmt>
        <c:idx val="1773"/>
        <c:spPr>
          <a:solidFill>
            <a:schemeClr val="accent1"/>
          </a:solidFill>
          <a:ln w="19050">
            <a:solidFill>
              <a:schemeClr val="lt1"/>
            </a:solidFill>
          </a:ln>
          <a:effectLst/>
        </c:spPr>
      </c:pivotFmt>
      <c:pivotFmt>
        <c:idx val="1774"/>
        <c:spPr>
          <a:solidFill>
            <a:schemeClr val="accent1"/>
          </a:solidFill>
          <a:ln w="19050">
            <a:solidFill>
              <a:schemeClr val="lt1"/>
            </a:solidFill>
          </a:ln>
          <a:effectLst/>
        </c:spPr>
      </c:pivotFmt>
      <c:pivotFmt>
        <c:idx val="1775"/>
        <c:spPr>
          <a:solidFill>
            <a:schemeClr val="accent1"/>
          </a:solidFill>
          <a:ln w="19050">
            <a:solidFill>
              <a:schemeClr val="lt1"/>
            </a:solidFill>
          </a:ln>
          <a:effectLst/>
        </c:spPr>
      </c:pivotFmt>
      <c:pivotFmt>
        <c:idx val="1776"/>
        <c:spPr>
          <a:solidFill>
            <a:schemeClr val="accent1"/>
          </a:solidFill>
          <a:ln w="19050">
            <a:solidFill>
              <a:schemeClr val="lt1"/>
            </a:solidFill>
          </a:ln>
          <a:effectLst/>
        </c:spPr>
      </c:pivotFmt>
      <c:pivotFmt>
        <c:idx val="1777"/>
        <c:spPr>
          <a:solidFill>
            <a:schemeClr val="accent1"/>
          </a:solidFill>
          <a:ln w="19050">
            <a:solidFill>
              <a:schemeClr val="lt1"/>
            </a:solidFill>
          </a:ln>
          <a:effectLst/>
        </c:spPr>
      </c:pivotFmt>
      <c:pivotFmt>
        <c:idx val="1778"/>
        <c:spPr>
          <a:solidFill>
            <a:schemeClr val="accent1"/>
          </a:solidFill>
          <a:ln w="19050">
            <a:solidFill>
              <a:schemeClr val="lt1"/>
            </a:solidFill>
          </a:ln>
          <a:effectLst/>
        </c:spPr>
      </c:pivotFmt>
      <c:pivotFmt>
        <c:idx val="1779"/>
        <c:spPr>
          <a:solidFill>
            <a:schemeClr val="accent1"/>
          </a:solidFill>
          <a:ln w="19050">
            <a:solidFill>
              <a:schemeClr val="lt1"/>
            </a:solidFill>
          </a:ln>
          <a:effectLst/>
        </c:spPr>
      </c:pivotFmt>
      <c:pivotFmt>
        <c:idx val="1780"/>
        <c:spPr>
          <a:solidFill>
            <a:schemeClr val="accent1"/>
          </a:solidFill>
          <a:ln w="19050">
            <a:solidFill>
              <a:schemeClr val="lt1"/>
            </a:solidFill>
          </a:ln>
          <a:effectLst/>
        </c:spPr>
      </c:pivotFmt>
      <c:pivotFmt>
        <c:idx val="1781"/>
        <c:spPr>
          <a:solidFill>
            <a:schemeClr val="accent1"/>
          </a:solidFill>
          <a:ln w="19050">
            <a:solidFill>
              <a:schemeClr val="lt1"/>
            </a:solidFill>
          </a:ln>
          <a:effectLst/>
        </c:spPr>
      </c:pivotFmt>
      <c:pivotFmt>
        <c:idx val="1782"/>
        <c:spPr>
          <a:solidFill>
            <a:schemeClr val="accent1"/>
          </a:solidFill>
          <a:ln w="19050">
            <a:solidFill>
              <a:schemeClr val="lt1"/>
            </a:solidFill>
          </a:ln>
          <a:effectLst/>
        </c:spPr>
      </c:pivotFmt>
      <c:pivotFmt>
        <c:idx val="1783"/>
        <c:spPr>
          <a:solidFill>
            <a:schemeClr val="accent1"/>
          </a:solidFill>
          <a:ln w="19050">
            <a:solidFill>
              <a:schemeClr val="lt1"/>
            </a:solidFill>
          </a:ln>
          <a:effectLst/>
        </c:spPr>
      </c:pivotFmt>
      <c:pivotFmt>
        <c:idx val="1784"/>
        <c:spPr>
          <a:solidFill>
            <a:schemeClr val="accent1"/>
          </a:solidFill>
          <a:ln w="19050">
            <a:solidFill>
              <a:schemeClr val="lt1"/>
            </a:solidFill>
          </a:ln>
          <a:effectLst/>
        </c:spPr>
      </c:pivotFmt>
      <c:pivotFmt>
        <c:idx val="1785"/>
        <c:spPr>
          <a:solidFill>
            <a:schemeClr val="accent1"/>
          </a:solidFill>
          <a:ln w="19050">
            <a:solidFill>
              <a:schemeClr val="lt1"/>
            </a:solidFill>
          </a:ln>
          <a:effectLst/>
        </c:spPr>
      </c:pivotFmt>
      <c:pivotFmt>
        <c:idx val="1786"/>
        <c:spPr>
          <a:solidFill>
            <a:schemeClr val="accent1"/>
          </a:solidFill>
          <a:ln w="19050">
            <a:solidFill>
              <a:schemeClr val="lt1"/>
            </a:solidFill>
          </a:ln>
          <a:effectLst/>
        </c:spPr>
      </c:pivotFmt>
      <c:pivotFmt>
        <c:idx val="1787"/>
        <c:spPr>
          <a:solidFill>
            <a:schemeClr val="accent1"/>
          </a:solidFill>
          <a:ln w="19050">
            <a:solidFill>
              <a:schemeClr val="lt1"/>
            </a:solidFill>
          </a:ln>
          <a:effectLst/>
        </c:spPr>
      </c:pivotFmt>
      <c:pivotFmt>
        <c:idx val="1788"/>
        <c:spPr>
          <a:solidFill>
            <a:schemeClr val="accent1"/>
          </a:solidFill>
          <a:ln w="19050">
            <a:solidFill>
              <a:schemeClr val="lt1"/>
            </a:solidFill>
          </a:ln>
          <a:effectLst/>
        </c:spPr>
      </c:pivotFmt>
      <c:pivotFmt>
        <c:idx val="1789"/>
        <c:spPr>
          <a:solidFill>
            <a:schemeClr val="accent1"/>
          </a:solidFill>
          <a:ln w="19050">
            <a:solidFill>
              <a:schemeClr val="lt1"/>
            </a:solidFill>
          </a:ln>
          <a:effectLst/>
        </c:spPr>
      </c:pivotFmt>
      <c:pivotFmt>
        <c:idx val="1790"/>
        <c:spPr>
          <a:solidFill>
            <a:schemeClr val="accent1"/>
          </a:solidFill>
          <a:ln w="19050">
            <a:solidFill>
              <a:schemeClr val="lt1"/>
            </a:solidFill>
          </a:ln>
          <a:effectLst/>
        </c:spPr>
      </c:pivotFmt>
      <c:pivotFmt>
        <c:idx val="17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2"/>
        <c:spPr>
          <a:solidFill>
            <a:schemeClr val="accent1"/>
          </a:solidFill>
          <a:ln w="19050">
            <a:solidFill>
              <a:schemeClr val="lt1"/>
            </a:solidFill>
          </a:ln>
          <a:effectLst/>
        </c:spPr>
      </c:pivotFmt>
      <c:pivotFmt>
        <c:idx val="1793"/>
        <c:spPr>
          <a:solidFill>
            <a:schemeClr val="accent1"/>
          </a:solidFill>
          <a:ln w="19050">
            <a:solidFill>
              <a:schemeClr val="lt1"/>
            </a:solidFill>
          </a:ln>
          <a:effectLst/>
        </c:spPr>
      </c:pivotFmt>
      <c:pivotFmt>
        <c:idx val="1794"/>
        <c:spPr>
          <a:solidFill>
            <a:schemeClr val="accent1"/>
          </a:solidFill>
          <a:ln w="19050">
            <a:solidFill>
              <a:schemeClr val="lt1"/>
            </a:solidFill>
          </a:ln>
          <a:effectLst/>
        </c:spPr>
      </c:pivotFmt>
      <c:pivotFmt>
        <c:idx val="1795"/>
        <c:spPr>
          <a:solidFill>
            <a:schemeClr val="accent1"/>
          </a:solidFill>
          <a:ln w="19050">
            <a:solidFill>
              <a:schemeClr val="lt1"/>
            </a:solidFill>
          </a:ln>
          <a:effectLst/>
        </c:spPr>
      </c:pivotFmt>
      <c:pivotFmt>
        <c:idx val="1796"/>
        <c:spPr>
          <a:solidFill>
            <a:schemeClr val="accent1"/>
          </a:solidFill>
          <a:ln w="19050">
            <a:solidFill>
              <a:schemeClr val="lt1"/>
            </a:solidFill>
          </a:ln>
          <a:effectLst/>
        </c:spPr>
      </c:pivotFmt>
      <c:pivotFmt>
        <c:idx val="1797"/>
        <c:spPr>
          <a:solidFill>
            <a:schemeClr val="accent1"/>
          </a:solidFill>
          <a:ln w="19050">
            <a:solidFill>
              <a:schemeClr val="lt1"/>
            </a:solidFill>
          </a:ln>
          <a:effectLst/>
        </c:spPr>
      </c:pivotFmt>
      <c:pivotFmt>
        <c:idx val="1798"/>
        <c:spPr>
          <a:solidFill>
            <a:schemeClr val="accent1"/>
          </a:solidFill>
          <a:ln w="19050">
            <a:solidFill>
              <a:schemeClr val="lt1"/>
            </a:solidFill>
          </a:ln>
          <a:effectLst/>
        </c:spPr>
      </c:pivotFmt>
      <c:pivotFmt>
        <c:idx val="1799"/>
        <c:spPr>
          <a:solidFill>
            <a:schemeClr val="accent1"/>
          </a:solidFill>
          <a:ln w="19050">
            <a:solidFill>
              <a:schemeClr val="lt1"/>
            </a:solidFill>
          </a:ln>
          <a:effectLst/>
        </c:spPr>
      </c:pivotFmt>
      <c:pivotFmt>
        <c:idx val="1800"/>
        <c:spPr>
          <a:solidFill>
            <a:schemeClr val="accent1"/>
          </a:solidFill>
          <a:ln w="19050">
            <a:solidFill>
              <a:schemeClr val="lt1"/>
            </a:solidFill>
          </a:ln>
          <a:effectLst/>
        </c:spPr>
      </c:pivotFmt>
      <c:pivotFmt>
        <c:idx val="1801"/>
        <c:spPr>
          <a:solidFill>
            <a:schemeClr val="accent1"/>
          </a:solidFill>
          <a:ln w="19050">
            <a:solidFill>
              <a:schemeClr val="lt1"/>
            </a:solidFill>
          </a:ln>
          <a:effectLst/>
        </c:spPr>
      </c:pivotFmt>
      <c:pivotFmt>
        <c:idx val="1802"/>
        <c:spPr>
          <a:solidFill>
            <a:schemeClr val="accent1"/>
          </a:solidFill>
          <a:ln w="19050">
            <a:solidFill>
              <a:schemeClr val="lt1"/>
            </a:solidFill>
          </a:ln>
          <a:effectLst/>
        </c:spPr>
      </c:pivotFmt>
      <c:pivotFmt>
        <c:idx val="1803"/>
        <c:spPr>
          <a:solidFill>
            <a:schemeClr val="accent1"/>
          </a:solidFill>
          <a:ln w="19050">
            <a:solidFill>
              <a:schemeClr val="lt1"/>
            </a:solidFill>
          </a:ln>
          <a:effectLst/>
        </c:spPr>
      </c:pivotFmt>
      <c:pivotFmt>
        <c:idx val="1804"/>
        <c:spPr>
          <a:solidFill>
            <a:schemeClr val="accent1"/>
          </a:solidFill>
          <a:ln w="19050">
            <a:solidFill>
              <a:schemeClr val="lt1"/>
            </a:solidFill>
          </a:ln>
          <a:effectLst/>
        </c:spPr>
      </c:pivotFmt>
      <c:pivotFmt>
        <c:idx val="1805"/>
        <c:spPr>
          <a:solidFill>
            <a:schemeClr val="accent1"/>
          </a:solidFill>
          <a:ln w="19050">
            <a:solidFill>
              <a:schemeClr val="lt1"/>
            </a:solidFill>
          </a:ln>
          <a:effectLst/>
        </c:spPr>
      </c:pivotFmt>
      <c:pivotFmt>
        <c:idx val="1806"/>
        <c:spPr>
          <a:solidFill>
            <a:schemeClr val="accent1"/>
          </a:solidFill>
          <a:ln w="19050">
            <a:solidFill>
              <a:schemeClr val="lt1"/>
            </a:solidFill>
          </a:ln>
          <a:effectLst/>
        </c:spPr>
      </c:pivotFmt>
      <c:pivotFmt>
        <c:idx val="1807"/>
        <c:spPr>
          <a:solidFill>
            <a:schemeClr val="accent1"/>
          </a:solidFill>
          <a:ln w="19050">
            <a:solidFill>
              <a:schemeClr val="lt1"/>
            </a:solidFill>
          </a:ln>
          <a:effectLst/>
        </c:spPr>
      </c:pivotFmt>
      <c:pivotFmt>
        <c:idx val="1808"/>
        <c:spPr>
          <a:solidFill>
            <a:schemeClr val="accent1"/>
          </a:solidFill>
          <a:ln w="19050">
            <a:solidFill>
              <a:schemeClr val="lt1"/>
            </a:solidFill>
          </a:ln>
          <a:effectLst/>
        </c:spPr>
      </c:pivotFmt>
      <c:pivotFmt>
        <c:idx val="1809"/>
        <c:spPr>
          <a:solidFill>
            <a:schemeClr val="accent1"/>
          </a:solidFill>
          <a:ln w="19050">
            <a:solidFill>
              <a:schemeClr val="lt1"/>
            </a:solidFill>
          </a:ln>
          <a:effectLst/>
        </c:spPr>
      </c:pivotFmt>
      <c:pivotFmt>
        <c:idx val="1810"/>
        <c:spPr>
          <a:solidFill>
            <a:schemeClr val="accent1"/>
          </a:solidFill>
          <a:ln w="19050">
            <a:solidFill>
              <a:schemeClr val="lt1"/>
            </a:solidFill>
          </a:ln>
          <a:effectLst/>
        </c:spPr>
      </c:pivotFmt>
      <c:pivotFmt>
        <c:idx val="1811"/>
        <c:spPr>
          <a:solidFill>
            <a:schemeClr val="accent1"/>
          </a:solidFill>
          <a:ln w="19050">
            <a:solidFill>
              <a:schemeClr val="lt1"/>
            </a:solidFill>
          </a:ln>
          <a:effectLst/>
        </c:spPr>
      </c:pivotFmt>
      <c:pivotFmt>
        <c:idx val="1812"/>
        <c:spPr>
          <a:solidFill>
            <a:schemeClr val="accent1"/>
          </a:solidFill>
          <a:ln w="19050">
            <a:solidFill>
              <a:schemeClr val="lt1"/>
            </a:solidFill>
          </a:ln>
          <a:effectLst/>
        </c:spPr>
      </c:pivotFmt>
      <c:pivotFmt>
        <c:idx val="1813"/>
        <c:spPr>
          <a:solidFill>
            <a:schemeClr val="accent1"/>
          </a:solidFill>
          <a:ln w="19050">
            <a:solidFill>
              <a:schemeClr val="lt1"/>
            </a:solidFill>
          </a:ln>
          <a:effectLst/>
        </c:spPr>
      </c:pivotFmt>
      <c:pivotFmt>
        <c:idx val="1814"/>
        <c:spPr>
          <a:solidFill>
            <a:schemeClr val="accent1"/>
          </a:solidFill>
          <a:ln w="19050">
            <a:solidFill>
              <a:schemeClr val="lt1"/>
            </a:solidFill>
          </a:ln>
          <a:effectLst/>
        </c:spPr>
      </c:pivotFmt>
      <c:pivotFmt>
        <c:idx val="1815"/>
        <c:spPr>
          <a:solidFill>
            <a:schemeClr val="accent1"/>
          </a:solidFill>
          <a:ln w="19050">
            <a:solidFill>
              <a:schemeClr val="lt1"/>
            </a:solidFill>
          </a:ln>
          <a:effectLst/>
        </c:spPr>
      </c:pivotFmt>
      <c:pivotFmt>
        <c:idx val="1816"/>
        <c:spPr>
          <a:solidFill>
            <a:schemeClr val="accent1"/>
          </a:solidFill>
          <a:ln w="19050">
            <a:solidFill>
              <a:schemeClr val="lt1"/>
            </a:solidFill>
          </a:ln>
          <a:effectLst/>
        </c:spPr>
      </c:pivotFmt>
      <c:pivotFmt>
        <c:idx val="1817"/>
        <c:spPr>
          <a:solidFill>
            <a:schemeClr val="accent1"/>
          </a:solidFill>
          <a:ln w="19050">
            <a:solidFill>
              <a:schemeClr val="lt1"/>
            </a:solidFill>
          </a:ln>
          <a:effectLst/>
        </c:spPr>
      </c:pivotFmt>
      <c:pivotFmt>
        <c:idx val="18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9"/>
        <c:spPr>
          <a:solidFill>
            <a:schemeClr val="accent1"/>
          </a:solidFill>
          <a:ln w="19050">
            <a:solidFill>
              <a:schemeClr val="lt1"/>
            </a:solidFill>
          </a:ln>
          <a:effectLst/>
        </c:spPr>
      </c:pivotFmt>
      <c:pivotFmt>
        <c:idx val="1820"/>
        <c:spPr>
          <a:solidFill>
            <a:schemeClr val="accent1"/>
          </a:solidFill>
          <a:ln w="19050">
            <a:solidFill>
              <a:schemeClr val="lt1"/>
            </a:solidFill>
          </a:ln>
          <a:effectLst/>
        </c:spPr>
      </c:pivotFmt>
      <c:pivotFmt>
        <c:idx val="1821"/>
        <c:spPr>
          <a:solidFill>
            <a:schemeClr val="accent1"/>
          </a:solidFill>
          <a:ln w="19050">
            <a:solidFill>
              <a:schemeClr val="lt1"/>
            </a:solidFill>
          </a:ln>
          <a:effectLst/>
        </c:spPr>
      </c:pivotFmt>
      <c:pivotFmt>
        <c:idx val="1822"/>
        <c:spPr>
          <a:solidFill>
            <a:schemeClr val="accent1"/>
          </a:solidFill>
          <a:ln w="19050">
            <a:solidFill>
              <a:schemeClr val="lt1"/>
            </a:solidFill>
          </a:ln>
          <a:effectLst/>
        </c:spPr>
      </c:pivotFmt>
      <c:pivotFmt>
        <c:idx val="1823"/>
        <c:spPr>
          <a:solidFill>
            <a:schemeClr val="accent1"/>
          </a:solidFill>
          <a:ln w="19050">
            <a:solidFill>
              <a:schemeClr val="lt1"/>
            </a:solidFill>
          </a:ln>
          <a:effectLst/>
        </c:spPr>
      </c:pivotFmt>
      <c:pivotFmt>
        <c:idx val="1824"/>
        <c:spPr>
          <a:solidFill>
            <a:schemeClr val="accent1"/>
          </a:solidFill>
          <a:ln w="19050">
            <a:solidFill>
              <a:schemeClr val="lt1"/>
            </a:solidFill>
          </a:ln>
          <a:effectLst/>
        </c:spPr>
      </c:pivotFmt>
      <c:pivotFmt>
        <c:idx val="1825"/>
        <c:spPr>
          <a:solidFill>
            <a:schemeClr val="accent1"/>
          </a:solidFill>
          <a:ln w="19050">
            <a:solidFill>
              <a:schemeClr val="lt1"/>
            </a:solidFill>
          </a:ln>
          <a:effectLst/>
        </c:spPr>
      </c:pivotFmt>
      <c:pivotFmt>
        <c:idx val="1826"/>
        <c:spPr>
          <a:solidFill>
            <a:schemeClr val="accent1"/>
          </a:solidFill>
          <a:ln w="19050">
            <a:solidFill>
              <a:schemeClr val="lt1"/>
            </a:solidFill>
          </a:ln>
          <a:effectLst/>
        </c:spPr>
      </c:pivotFmt>
      <c:pivotFmt>
        <c:idx val="1827"/>
        <c:spPr>
          <a:solidFill>
            <a:schemeClr val="accent1"/>
          </a:solidFill>
          <a:ln w="19050">
            <a:solidFill>
              <a:schemeClr val="lt1"/>
            </a:solidFill>
          </a:ln>
          <a:effectLst/>
        </c:spPr>
      </c:pivotFmt>
      <c:pivotFmt>
        <c:idx val="1828"/>
        <c:spPr>
          <a:solidFill>
            <a:schemeClr val="accent1"/>
          </a:solidFill>
          <a:ln w="19050">
            <a:solidFill>
              <a:schemeClr val="lt1"/>
            </a:solidFill>
          </a:ln>
          <a:effectLst/>
        </c:spPr>
      </c:pivotFmt>
      <c:pivotFmt>
        <c:idx val="1829"/>
        <c:spPr>
          <a:solidFill>
            <a:schemeClr val="accent1"/>
          </a:solidFill>
          <a:ln w="19050">
            <a:solidFill>
              <a:schemeClr val="lt1"/>
            </a:solidFill>
          </a:ln>
          <a:effectLst/>
        </c:spPr>
      </c:pivotFmt>
      <c:pivotFmt>
        <c:idx val="1830"/>
        <c:spPr>
          <a:solidFill>
            <a:schemeClr val="accent1"/>
          </a:solidFill>
          <a:ln w="19050">
            <a:solidFill>
              <a:schemeClr val="lt1"/>
            </a:solidFill>
          </a:ln>
          <a:effectLst/>
        </c:spPr>
      </c:pivotFmt>
      <c:pivotFmt>
        <c:idx val="1831"/>
        <c:spPr>
          <a:solidFill>
            <a:schemeClr val="accent1"/>
          </a:solidFill>
          <a:ln w="19050">
            <a:solidFill>
              <a:schemeClr val="lt1"/>
            </a:solidFill>
          </a:ln>
          <a:effectLst/>
        </c:spPr>
      </c:pivotFmt>
      <c:pivotFmt>
        <c:idx val="1832"/>
        <c:spPr>
          <a:solidFill>
            <a:schemeClr val="accent1"/>
          </a:solidFill>
          <a:ln w="19050">
            <a:solidFill>
              <a:schemeClr val="lt1"/>
            </a:solidFill>
          </a:ln>
          <a:effectLst/>
        </c:spPr>
      </c:pivotFmt>
      <c:pivotFmt>
        <c:idx val="1833"/>
        <c:spPr>
          <a:solidFill>
            <a:schemeClr val="accent1"/>
          </a:solidFill>
          <a:ln w="19050">
            <a:solidFill>
              <a:schemeClr val="lt1"/>
            </a:solidFill>
          </a:ln>
          <a:effectLst/>
        </c:spPr>
      </c:pivotFmt>
      <c:pivotFmt>
        <c:idx val="1834"/>
        <c:spPr>
          <a:solidFill>
            <a:schemeClr val="accent1"/>
          </a:solidFill>
          <a:ln w="19050">
            <a:solidFill>
              <a:schemeClr val="lt1"/>
            </a:solidFill>
          </a:ln>
          <a:effectLst/>
        </c:spPr>
      </c:pivotFmt>
      <c:pivotFmt>
        <c:idx val="1835"/>
        <c:spPr>
          <a:solidFill>
            <a:schemeClr val="accent1"/>
          </a:solidFill>
          <a:ln w="19050">
            <a:solidFill>
              <a:schemeClr val="lt1"/>
            </a:solidFill>
          </a:ln>
          <a:effectLst/>
        </c:spPr>
      </c:pivotFmt>
      <c:pivotFmt>
        <c:idx val="1836"/>
        <c:spPr>
          <a:solidFill>
            <a:schemeClr val="accent1"/>
          </a:solidFill>
          <a:ln w="19050">
            <a:solidFill>
              <a:schemeClr val="lt1"/>
            </a:solidFill>
          </a:ln>
          <a:effectLst/>
        </c:spPr>
      </c:pivotFmt>
      <c:pivotFmt>
        <c:idx val="1837"/>
        <c:spPr>
          <a:solidFill>
            <a:schemeClr val="accent1"/>
          </a:solidFill>
          <a:ln w="19050">
            <a:solidFill>
              <a:schemeClr val="lt1"/>
            </a:solidFill>
          </a:ln>
          <a:effectLst/>
        </c:spPr>
      </c:pivotFmt>
      <c:pivotFmt>
        <c:idx val="1838"/>
        <c:spPr>
          <a:solidFill>
            <a:schemeClr val="accent1"/>
          </a:solidFill>
          <a:ln w="19050">
            <a:solidFill>
              <a:schemeClr val="lt1"/>
            </a:solidFill>
          </a:ln>
          <a:effectLst/>
        </c:spPr>
      </c:pivotFmt>
      <c:pivotFmt>
        <c:idx val="1839"/>
        <c:spPr>
          <a:solidFill>
            <a:schemeClr val="accent1"/>
          </a:solidFill>
          <a:ln w="19050">
            <a:solidFill>
              <a:schemeClr val="lt1"/>
            </a:solidFill>
          </a:ln>
          <a:effectLst/>
        </c:spPr>
      </c:pivotFmt>
      <c:pivotFmt>
        <c:idx val="1840"/>
        <c:spPr>
          <a:solidFill>
            <a:schemeClr val="accent1"/>
          </a:solidFill>
          <a:ln w="19050">
            <a:solidFill>
              <a:schemeClr val="lt1"/>
            </a:solidFill>
          </a:ln>
          <a:effectLst/>
        </c:spPr>
      </c:pivotFmt>
      <c:pivotFmt>
        <c:idx val="1841"/>
        <c:spPr>
          <a:solidFill>
            <a:schemeClr val="accent1"/>
          </a:solidFill>
          <a:ln w="19050">
            <a:solidFill>
              <a:schemeClr val="lt1"/>
            </a:solidFill>
          </a:ln>
          <a:effectLst/>
        </c:spPr>
      </c:pivotFmt>
      <c:pivotFmt>
        <c:idx val="1842"/>
        <c:spPr>
          <a:solidFill>
            <a:schemeClr val="accent1"/>
          </a:solidFill>
          <a:ln w="19050">
            <a:solidFill>
              <a:schemeClr val="lt1"/>
            </a:solidFill>
          </a:ln>
          <a:effectLst/>
        </c:spPr>
      </c:pivotFmt>
      <c:pivotFmt>
        <c:idx val="1843"/>
        <c:spPr>
          <a:solidFill>
            <a:schemeClr val="accent1"/>
          </a:solidFill>
          <a:ln w="19050">
            <a:solidFill>
              <a:schemeClr val="lt1"/>
            </a:solidFill>
          </a:ln>
          <a:effectLst/>
        </c:spPr>
      </c:pivotFmt>
      <c:pivotFmt>
        <c:idx val="1844"/>
        <c:spPr>
          <a:solidFill>
            <a:schemeClr val="accent1"/>
          </a:solidFill>
          <a:ln w="19050">
            <a:solidFill>
              <a:schemeClr val="lt1"/>
            </a:solidFill>
          </a:ln>
          <a:effectLst/>
        </c:spPr>
      </c:pivotFmt>
      <c:pivotFmt>
        <c:idx val="18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6"/>
        <c:spPr>
          <a:solidFill>
            <a:schemeClr val="accent1"/>
          </a:solidFill>
          <a:ln w="19050">
            <a:solidFill>
              <a:schemeClr val="lt1"/>
            </a:solidFill>
          </a:ln>
          <a:effectLst/>
        </c:spPr>
      </c:pivotFmt>
      <c:pivotFmt>
        <c:idx val="1847"/>
        <c:spPr>
          <a:solidFill>
            <a:schemeClr val="accent1"/>
          </a:solidFill>
          <a:ln w="19050">
            <a:solidFill>
              <a:schemeClr val="lt1"/>
            </a:solidFill>
          </a:ln>
          <a:effectLst/>
        </c:spPr>
      </c:pivotFmt>
      <c:pivotFmt>
        <c:idx val="1848"/>
        <c:spPr>
          <a:solidFill>
            <a:schemeClr val="accent1"/>
          </a:solidFill>
          <a:ln w="19050">
            <a:solidFill>
              <a:schemeClr val="lt1"/>
            </a:solidFill>
          </a:ln>
          <a:effectLst/>
        </c:spPr>
      </c:pivotFmt>
      <c:pivotFmt>
        <c:idx val="1849"/>
        <c:spPr>
          <a:solidFill>
            <a:schemeClr val="accent1"/>
          </a:solidFill>
          <a:ln w="19050">
            <a:solidFill>
              <a:schemeClr val="lt1"/>
            </a:solidFill>
          </a:ln>
          <a:effectLst/>
        </c:spPr>
      </c:pivotFmt>
      <c:pivotFmt>
        <c:idx val="1850"/>
        <c:spPr>
          <a:solidFill>
            <a:schemeClr val="accent1"/>
          </a:solidFill>
          <a:ln w="19050">
            <a:solidFill>
              <a:schemeClr val="lt1"/>
            </a:solidFill>
          </a:ln>
          <a:effectLst/>
        </c:spPr>
      </c:pivotFmt>
      <c:pivotFmt>
        <c:idx val="1851"/>
        <c:spPr>
          <a:solidFill>
            <a:schemeClr val="accent1"/>
          </a:solidFill>
          <a:ln w="19050">
            <a:solidFill>
              <a:schemeClr val="lt1"/>
            </a:solidFill>
          </a:ln>
          <a:effectLst/>
        </c:spPr>
      </c:pivotFmt>
      <c:pivotFmt>
        <c:idx val="1852"/>
        <c:spPr>
          <a:solidFill>
            <a:schemeClr val="accent1"/>
          </a:solidFill>
          <a:ln w="19050">
            <a:solidFill>
              <a:schemeClr val="lt1"/>
            </a:solidFill>
          </a:ln>
          <a:effectLst/>
        </c:spPr>
      </c:pivotFmt>
      <c:pivotFmt>
        <c:idx val="1853"/>
        <c:spPr>
          <a:solidFill>
            <a:schemeClr val="accent1"/>
          </a:solidFill>
          <a:ln w="19050">
            <a:solidFill>
              <a:schemeClr val="lt1"/>
            </a:solidFill>
          </a:ln>
          <a:effectLst/>
        </c:spPr>
      </c:pivotFmt>
      <c:pivotFmt>
        <c:idx val="1854"/>
        <c:spPr>
          <a:solidFill>
            <a:schemeClr val="accent1"/>
          </a:solidFill>
          <a:ln w="19050">
            <a:solidFill>
              <a:schemeClr val="lt1"/>
            </a:solidFill>
          </a:ln>
          <a:effectLst/>
        </c:spPr>
      </c:pivotFmt>
      <c:pivotFmt>
        <c:idx val="1855"/>
        <c:spPr>
          <a:solidFill>
            <a:schemeClr val="accent1"/>
          </a:solidFill>
          <a:ln w="19050">
            <a:solidFill>
              <a:schemeClr val="lt1"/>
            </a:solidFill>
          </a:ln>
          <a:effectLst/>
        </c:spPr>
      </c:pivotFmt>
      <c:pivotFmt>
        <c:idx val="1856"/>
        <c:spPr>
          <a:solidFill>
            <a:schemeClr val="accent1"/>
          </a:solidFill>
          <a:ln w="19050">
            <a:solidFill>
              <a:schemeClr val="lt1"/>
            </a:solidFill>
          </a:ln>
          <a:effectLst/>
        </c:spPr>
      </c:pivotFmt>
      <c:pivotFmt>
        <c:idx val="1857"/>
        <c:spPr>
          <a:solidFill>
            <a:schemeClr val="accent1"/>
          </a:solidFill>
          <a:ln w="19050">
            <a:solidFill>
              <a:schemeClr val="lt1"/>
            </a:solidFill>
          </a:ln>
          <a:effectLst/>
        </c:spPr>
      </c:pivotFmt>
      <c:pivotFmt>
        <c:idx val="1858"/>
        <c:spPr>
          <a:solidFill>
            <a:schemeClr val="accent1"/>
          </a:solidFill>
          <a:ln w="19050">
            <a:solidFill>
              <a:schemeClr val="lt1"/>
            </a:solidFill>
          </a:ln>
          <a:effectLst/>
        </c:spPr>
      </c:pivotFmt>
      <c:pivotFmt>
        <c:idx val="1859"/>
        <c:spPr>
          <a:solidFill>
            <a:schemeClr val="accent1"/>
          </a:solidFill>
          <a:ln w="19050">
            <a:solidFill>
              <a:schemeClr val="lt1"/>
            </a:solidFill>
          </a:ln>
          <a:effectLst/>
        </c:spPr>
      </c:pivotFmt>
      <c:pivotFmt>
        <c:idx val="1860"/>
        <c:spPr>
          <a:solidFill>
            <a:schemeClr val="accent1"/>
          </a:solidFill>
          <a:ln w="19050">
            <a:solidFill>
              <a:schemeClr val="lt1"/>
            </a:solidFill>
          </a:ln>
          <a:effectLst/>
        </c:spPr>
      </c:pivotFmt>
      <c:pivotFmt>
        <c:idx val="1861"/>
        <c:spPr>
          <a:solidFill>
            <a:schemeClr val="accent1"/>
          </a:solidFill>
          <a:ln w="19050">
            <a:solidFill>
              <a:schemeClr val="lt1"/>
            </a:solidFill>
          </a:ln>
          <a:effectLst/>
        </c:spPr>
      </c:pivotFmt>
      <c:pivotFmt>
        <c:idx val="1862"/>
        <c:spPr>
          <a:solidFill>
            <a:schemeClr val="accent1"/>
          </a:solidFill>
          <a:ln w="19050">
            <a:solidFill>
              <a:schemeClr val="lt1"/>
            </a:solidFill>
          </a:ln>
          <a:effectLst/>
        </c:spPr>
      </c:pivotFmt>
      <c:pivotFmt>
        <c:idx val="1863"/>
        <c:spPr>
          <a:solidFill>
            <a:schemeClr val="accent1"/>
          </a:solidFill>
          <a:ln w="19050">
            <a:solidFill>
              <a:schemeClr val="lt1"/>
            </a:solidFill>
          </a:ln>
          <a:effectLst/>
        </c:spPr>
      </c:pivotFmt>
      <c:pivotFmt>
        <c:idx val="1864"/>
        <c:spPr>
          <a:solidFill>
            <a:schemeClr val="accent1"/>
          </a:solidFill>
          <a:ln w="19050">
            <a:solidFill>
              <a:schemeClr val="lt1"/>
            </a:solidFill>
          </a:ln>
          <a:effectLst/>
        </c:spPr>
      </c:pivotFmt>
      <c:pivotFmt>
        <c:idx val="1865"/>
        <c:spPr>
          <a:solidFill>
            <a:schemeClr val="accent1"/>
          </a:solidFill>
          <a:ln w="19050">
            <a:solidFill>
              <a:schemeClr val="lt1"/>
            </a:solidFill>
          </a:ln>
          <a:effectLst/>
        </c:spPr>
      </c:pivotFmt>
      <c:pivotFmt>
        <c:idx val="1866"/>
        <c:spPr>
          <a:solidFill>
            <a:schemeClr val="accent1"/>
          </a:solidFill>
          <a:ln w="19050">
            <a:solidFill>
              <a:schemeClr val="lt1"/>
            </a:solidFill>
          </a:ln>
          <a:effectLst/>
        </c:spPr>
      </c:pivotFmt>
      <c:pivotFmt>
        <c:idx val="1867"/>
        <c:spPr>
          <a:solidFill>
            <a:schemeClr val="accent1"/>
          </a:solidFill>
          <a:ln w="19050">
            <a:solidFill>
              <a:schemeClr val="lt1"/>
            </a:solidFill>
          </a:ln>
          <a:effectLst/>
        </c:spPr>
      </c:pivotFmt>
      <c:pivotFmt>
        <c:idx val="1868"/>
        <c:spPr>
          <a:solidFill>
            <a:schemeClr val="accent1"/>
          </a:solidFill>
          <a:ln w="19050">
            <a:solidFill>
              <a:schemeClr val="lt1"/>
            </a:solidFill>
          </a:ln>
          <a:effectLst/>
        </c:spPr>
      </c:pivotFmt>
      <c:pivotFmt>
        <c:idx val="1869"/>
        <c:spPr>
          <a:solidFill>
            <a:schemeClr val="accent1"/>
          </a:solidFill>
          <a:ln w="19050">
            <a:solidFill>
              <a:schemeClr val="lt1"/>
            </a:solidFill>
          </a:ln>
          <a:effectLst/>
        </c:spPr>
      </c:pivotFmt>
      <c:pivotFmt>
        <c:idx val="1870"/>
        <c:spPr>
          <a:solidFill>
            <a:schemeClr val="accent1"/>
          </a:solidFill>
          <a:ln w="19050">
            <a:solidFill>
              <a:schemeClr val="lt1"/>
            </a:solidFill>
          </a:ln>
          <a:effectLst/>
        </c:spPr>
      </c:pivotFmt>
      <c:pivotFmt>
        <c:idx val="1871"/>
        <c:spPr>
          <a:solidFill>
            <a:schemeClr val="accent1"/>
          </a:solidFill>
          <a:ln w="19050">
            <a:solidFill>
              <a:schemeClr val="lt1"/>
            </a:solidFill>
          </a:ln>
          <a:effectLst/>
        </c:spPr>
      </c:pivotFmt>
      <c:pivotFmt>
        <c:idx val="18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3"/>
        <c:spPr>
          <a:solidFill>
            <a:schemeClr val="accent1"/>
          </a:solidFill>
          <a:ln w="19050">
            <a:solidFill>
              <a:schemeClr val="lt1"/>
            </a:solidFill>
          </a:ln>
          <a:effectLst/>
        </c:spPr>
      </c:pivotFmt>
      <c:pivotFmt>
        <c:idx val="1874"/>
        <c:spPr>
          <a:solidFill>
            <a:schemeClr val="accent1"/>
          </a:solidFill>
          <a:ln w="19050">
            <a:solidFill>
              <a:schemeClr val="lt1"/>
            </a:solidFill>
          </a:ln>
          <a:effectLst/>
        </c:spPr>
      </c:pivotFmt>
      <c:pivotFmt>
        <c:idx val="1875"/>
        <c:spPr>
          <a:solidFill>
            <a:schemeClr val="accent1"/>
          </a:solidFill>
          <a:ln w="19050">
            <a:solidFill>
              <a:schemeClr val="lt1"/>
            </a:solidFill>
          </a:ln>
          <a:effectLst/>
        </c:spPr>
      </c:pivotFmt>
      <c:pivotFmt>
        <c:idx val="1876"/>
        <c:spPr>
          <a:solidFill>
            <a:schemeClr val="accent1"/>
          </a:solidFill>
          <a:ln w="19050">
            <a:solidFill>
              <a:schemeClr val="lt1"/>
            </a:solidFill>
          </a:ln>
          <a:effectLst/>
        </c:spPr>
      </c:pivotFmt>
      <c:pivotFmt>
        <c:idx val="1877"/>
        <c:spPr>
          <a:solidFill>
            <a:schemeClr val="accent1"/>
          </a:solidFill>
          <a:ln w="19050">
            <a:solidFill>
              <a:schemeClr val="lt1"/>
            </a:solidFill>
          </a:ln>
          <a:effectLst/>
        </c:spPr>
      </c:pivotFmt>
      <c:pivotFmt>
        <c:idx val="1878"/>
        <c:spPr>
          <a:solidFill>
            <a:schemeClr val="accent1"/>
          </a:solidFill>
          <a:ln w="19050">
            <a:solidFill>
              <a:schemeClr val="lt1"/>
            </a:solidFill>
          </a:ln>
          <a:effectLst/>
        </c:spPr>
      </c:pivotFmt>
      <c:pivotFmt>
        <c:idx val="1879"/>
        <c:spPr>
          <a:solidFill>
            <a:schemeClr val="accent1"/>
          </a:solidFill>
          <a:ln w="19050">
            <a:solidFill>
              <a:schemeClr val="lt1"/>
            </a:solidFill>
          </a:ln>
          <a:effectLst/>
        </c:spPr>
      </c:pivotFmt>
      <c:pivotFmt>
        <c:idx val="1880"/>
        <c:spPr>
          <a:solidFill>
            <a:schemeClr val="accent1"/>
          </a:solidFill>
          <a:ln w="19050">
            <a:solidFill>
              <a:schemeClr val="lt1"/>
            </a:solidFill>
          </a:ln>
          <a:effectLst/>
        </c:spPr>
      </c:pivotFmt>
      <c:pivotFmt>
        <c:idx val="1881"/>
        <c:spPr>
          <a:solidFill>
            <a:schemeClr val="accent1"/>
          </a:solidFill>
          <a:ln w="19050">
            <a:solidFill>
              <a:schemeClr val="lt1"/>
            </a:solidFill>
          </a:ln>
          <a:effectLst/>
        </c:spPr>
      </c:pivotFmt>
      <c:pivotFmt>
        <c:idx val="1882"/>
        <c:spPr>
          <a:solidFill>
            <a:schemeClr val="accent1"/>
          </a:solidFill>
          <a:ln w="19050">
            <a:solidFill>
              <a:schemeClr val="lt1"/>
            </a:solidFill>
          </a:ln>
          <a:effectLst/>
        </c:spPr>
      </c:pivotFmt>
      <c:pivotFmt>
        <c:idx val="1883"/>
        <c:spPr>
          <a:solidFill>
            <a:schemeClr val="accent1"/>
          </a:solidFill>
          <a:ln w="19050">
            <a:solidFill>
              <a:schemeClr val="lt1"/>
            </a:solidFill>
          </a:ln>
          <a:effectLst/>
        </c:spPr>
      </c:pivotFmt>
      <c:pivotFmt>
        <c:idx val="1884"/>
        <c:spPr>
          <a:solidFill>
            <a:schemeClr val="accent1"/>
          </a:solidFill>
          <a:ln w="19050">
            <a:solidFill>
              <a:schemeClr val="lt1"/>
            </a:solidFill>
          </a:ln>
          <a:effectLst/>
        </c:spPr>
      </c:pivotFmt>
      <c:pivotFmt>
        <c:idx val="1885"/>
        <c:spPr>
          <a:solidFill>
            <a:schemeClr val="accent1"/>
          </a:solidFill>
          <a:ln w="19050">
            <a:solidFill>
              <a:schemeClr val="lt1"/>
            </a:solidFill>
          </a:ln>
          <a:effectLst/>
        </c:spPr>
      </c:pivotFmt>
      <c:pivotFmt>
        <c:idx val="1886"/>
        <c:spPr>
          <a:solidFill>
            <a:schemeClr val="accent1"/>
          </a:solidFill>
          <a:ln w="19050">
            <a:solidFill>
              <a:schemeClr val="lt1"/>
            </a:solidFill>
          </a:ln>
          <a:effectLst/>
        </c:spPr>
      </c:pivotFmt>
      <c:pivotFmt>
        <c:idx val="1887"/>
        <c:spPr>
          <a:solidFill>
            <a:schemeClr val="accent1"/>
          </a:solidFill>
          <a:ln w="19050">
            <a:solidFill>
              <a:schemeClr val="lt1"/>
            </a:solidFill>
          </a:ln>
          <a:effectLst/>
        </c:spPr>
      </c:pivotFmt>
      <c:pivotFmt>
        <c:idx val="1888"/>
        <c:spPr>
          <a:solidFill>
            <a:schemeClr val="accent1"/>
          </a:solidFill>
          <a:ln w="19050">
            <a:solidFill>
              <a:schemeClr val="lt1"/>
            </a:solidFill>
          </a:ln>
          <a:effectLst/>
        </c:spPr>
      </c:pivotFmt>
      <c:pivotFmt>
        <c:idx val="1889"/>
        <c:spPr>
          <a:solidFill>
            <a:schemeClr val="accent1"/>
          </a:solidFill>
          <a:ln w="19050">
            <a:solidFill>
              <a:schemeClr val="lt1"/>
            </a:solidFill>
          </a:ln>
          <a:effectLst/>
        </c:spPr>
      </c:pivotFmt>
      <c:pivotFmt>
        <c:idx val="1890"/>
        <c:spPr>
          <a:solidFill>
            <a:schemeClr val="accent1"/>
          </a:solidFill>
          <a:ln w="19050">
            <a:solidFill>
              <a:schemeClr val="lt1"/>
            </a:solidFill>
          </a:ln>
          <a:effectLst/>
        </c:spPr>
      </c:pivotFmt>
      <c:pivotFmt>
        <c:idx val="1891"/>
        <c:spPr>
          <a:solidFill>
            <a:schemeClr val="accent1"/>
          </a:solidFill>
          <a:ln w="19050">
            <a:solidFill>
              <a:schemeClr val="lt1"/>
            </a:solidFill>
          </a:ln>
          <a:effectLst/>
        </c:spPr>
      </c:pivotFmt>
      <c:pivotFmt>
        <c:idx val="1892"/>
        <c:spPr>
          <a:solidFill>
            <a:schemeClr val="accent1"/>
          </a:solidFill>
          <a:ln w="19050">
            <a:solidFill>
              <a:schemeClr val="lt1"/>
            </a:solidFill>
          </a:ln>
          <a:effectLst/>
        </c:spPr>
      </c:pivotFmt>
      <c:pivotFmt>
        <c:idx val="1893"/>
        <c:spPr>
          <a:solidFill>
            <a:schemeClr val="accent1"/>
          </a:solidFill>
          <a:ln w="19050">
            <a:solidFill>
              <a:schemeClr val="lt1"/>
            </a:solidFill>
          </a:ln>
          <a:effectLst/>
        </c:spPr>
      </c:pivotFmt>
      <c:pivotFmt>
        <c:idx val="1894"/>
        <c:spPr>
          <a:solidFill>
            <a:schemeClr val="accent1"/>
          </a:solidFill>
          <a:ln w="19050">
            <a:solidFill>
              <a:schemeClr val="lt1"/>
            </a:solidFill>
          </a:ln>
          <a:effectLst/>
        </c:spPr>
      </c:pivotFmt>
      <c:pivotFmt>
        <c:idx val="1895"/>
        <c:spPr>
          <a:solidFill>
            <a:schemeClr val="accent1"/>
          </a:solidFill>
          <a:ln w="19050">
            <a:solidFill>
              <a:schemeClr val="lt1"/>
            </a:solidFill>
          </a:ln>
          <a:effectLst/>
        </c:spPr>
      </c:pivotFmt>
      <c:pivotFmt>
        <c:idx val="1896"/>
        <c:spPr>
          <a:solidFill>
            <a:schemeClr val="accent1"/>
          </a:solidFill>
          <a:ln w="19050">
            <a:solidFill>
              <a:schemeClr val="lt1"/>
            </a:solidFill>
          </a:ln>
          <a:effectLst/>
        </c:spPr>
      </c:pivotFmt>
      <c:pivotFmt>
        <c:idx val="1897"/>
        <c:spPr>
          <a:solidFill>
            <a:schemeClr val="accent1"/>
          </a:solidFill>
          <a:ln w="19050">
            <a:solidFill>
              <a:schemeClr val="lt1"/>
            </a:solidFill>
          </a:ln>
          <a:effectLst/>
        </c:spPr>
      </c:pivotFmt>
      <c:pivotFmt>
        <c:idx val="1898"/>
        <c:spPr>
          <a:solidFill>
            <a:schemeClr val="accent1"/>
          </a:solidFill>
          <a:ln w="19050">
            <a:solidFill>
              <a:schemeClr val="lt1"/>
            </a:solidFill>
          </a:ln>
          <a:effectLst/>
        </c:spPr>
      </c:pivotFmt>
      <c:pivotFmt>
        <c:idx val="18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0"/>
        <c:spPr>
          <a:solidFill>
            <a:schemeClr val="accent1"/>
          </a:solidFill>
          <a:ln w="19050">
            <a:solidFill>
              <a:schemeClr val="lt1"/>
            </a:solidFill>
          </a:ln>
          <a:effectLst/>
        </c:spPr>
      </c:pivotFmt>
      <c:pivotFmt>
        <c:idx val="1901"/>
        <c:spPr>
          <a:solidFill>
            <a:schemeClr val="accent1"/>
          </a:solidFill>
          <a:ln w="19050">
            <a:solidFill>
              <a:schemeClr val="lt1"/>
            </a:solidFill>
          </a:ln>
          <a:effectLst/>
        </c:spPr>
      </c:pivotFmt>
      <c:pivotFmt>
        <c:idx val="1902"/>
        <c:spPr>
          <a:solidFill>
            <a:schemeClr val="accent1"/>
          </a:solidFill>
          <a:ln w="19050">
            <a:solidFill>
              <a:schemeClr val="lt1"/>
            </a:solidFill>
          </a:ln>
          <a:effectLst/>
        </c:spPr>
      </c:pivotFmt>
      <c:pivotFmt>
        <c:idx val="1903"/>
        <c:spPr>
          <a:solidFill>
            <a:schemeClr val="accent1"/>
          </a:solidFill>
          <a:ln w="19050">
            <a:solidFill>
              <a:schemeClr val="lt1"/>
            </a:solidFill>
          </a:ln>
          <a:effectLst/>
        </c:spPr>
      </c:pivotFmt>
      <c:pivotFmt>
        <c:idx val="1904"/>
        <c:spPr>
          <a:solidFill>
            <a:schemeClr val="accent1"/>
          </a:solidFill>
          <a:ln w="19050">
            <a:solidFill>
              <a:schemeClr val="lt1"/>
            </a:solidFill>
          </a:ln>
          <a:effectLst/>
        </c:spPr>
      </c:pivotFmt>
      <c:pivotFmt>
        <c:idx val="1905"/>
        <c:spPr>
          <a:solidFill>
            <a:schemeClr val="accent1"/>
          </a:solidFill>
          <a:ln w="19050">
            <a:solidFill>
              <a:schemeClr val="lt1"/>
            </a:solidFill>
          </a:ln>
          <a:effectLst/>
        </c:spPr>
      </c:pivotFmt>
      <c:pivotFmt>
        <c:idx val="1906"/>
        <c:spPr>
          <a:solidFill>
            <a:schemeClr val="accent1"/>
          </a:solidFill>
          <a:ln w="19050">
            <a:solidFill>
              <a:schemeClr val="lt1"/>
            </a:solidFill>
          </a:ln>
          <a:effectLst/>
        </c:spPr>
      </c:pivotFmt>
      <c:pivotFmt>
        <c:idx val="1907"/>
        <c:spPr>
          <a:solidFill>
            <a:schemeClr val="accent1"/>
          </a:solidFill>
          <a:ln w="19050">
            <a:solidFill>
              <a:schemeClr val="lt1"/>
            </a:solidFill>
          </a:ln>
          <a:effectLst/>
        </c:spPr>
      </c:pivotFmt>
      <c:pivotFmt>
        <c:idx val="1908"/>
        <c:spPr>
          <a:solidFill>
            <a:schemeClr val="accent1"/>
          </a:solidFill>
          <a:ln w="19050">
            <a:solidFill>
              <a:schemeClr val="lt1"/>
            </a:solidFill>
          </a:ln>
          <a:effectLst/>
        </c:spPr>
      </c:pivotFmt>
      <c:pivotFmt>
        <c:idx val="1909"/>
        <c:spPr>
          <a:solidFill>
            <a:schemeClr val="accent1"/>
          </a:solidFill>
          <a:ln w="19050">
            <a:solidFill>
              <a:schemeClr val="lt1"/>
            </a:solidFill>
          </a:ln>
          <a:effectLst/>
        </c:spPr>
      </c:pivotFmt>
      <c:pivotFmt>
        <c:idx val="1910"/>
        <c:spPr>
          <a:solidFill>
            <a:schemeClr val="accent1"/>
          </a:solidFill>
          <a:ln w="19050">
            <a:solidFill>
              <a:schemeClr val="lt1"/>
            </a:solidFill>
          </a:ln>
          <a:effectLst/>
        </c:spPr>
      </c:pivotFmt>
      <c:pivotFmt>
        <c:idx val="1911"/>
        <c:spPr>
          <a:solidFill>
            <a:schemeClr val="accent1"/>
          </a:solidFill>
          <a:ln w="19050">
            <a:solidFill>
              <a:schemeClr val="lt1"/>
            </a:solidFill>
          </a:ln>
          <a:effectLst/>
        </c:spPr>
      </c:pivotFmt>
      <c:pivotFmt>
        <c:idx val="1912"/>
        <c:spPr>
          <a:solidFill>
            <a:schemeClr val="accent1"/>
          </a:solidFill>
          <a:ln w="19050">
            <a:solidFill>
              <a:schemeClr val="lt1"/>
            </a:solidFill>
          </a:ln>
          <a:effectLst/>
        </c:spPr>
      </c:pivotFmt>
      <c:pivotFmt>
        <c:idx val="1913"/>
        <c:spPr>
          <a:solidFill>
            <a:schemeClr val="accent1"/>
          </a:solidFill>
          <a:ln w="19050">
            <a:solidFill>
              <a:schemeClr val="lt1"/>
            </a:solidFill>
          </a:ln>
          <a:effectLst/>
        </c:spPr>
      </c:pivotFmt>
      <c:pivotFmt>
        <c:idx val="1914"/>
        <c:spPr>
          <a:solidFill>
            <a:schemeClr val="accent1"/>
          </a:solidFill>
          <a:ln w="19050">
            <a:solidFill>
              <a:schemeClr val="lt1"/>
            </a:solidFill>
          </a:ln>
          <a:effectLst/>
        </c:spPr>
      </c:pivotFmt>
      <c:pivotFmt>
        <c:idx val="1915"/>
        <c:spPr>
          <a:solidFill>
            <a:schemeClr val="accent1"/>
          </a:solidFill>
          <a:ln w="19050">
            <a:solidFill>
              <a:schemeClr val="lt1"/>
            </a:solidFill>
          </a:ln>
          <a:effectLst/>
        </c:spPr>
      </c:pivotFmt>
      <c:pivotFmt>
        <c:idx val="1916"/>
        <c:spPr>
          <a:solidFill>
            <a:schemeClr val="accent1"/>
          </a:solidFill>
          <a:ln w="19050">
            <a:solidFill>
              <a:schemeClr val="lt1"/>
            </a:solidFill>
          </a:ln>
          <a:effectLst/>
        </c:spPr>
      </c:pivotFmt>
      <c:pivotFmt>
        <c:idx val="1917"/>
        <c:spPr>
          <a:solidFill>
            <a:schemeClr val="accent1"/>
          </a:solidFill>
          <a:ln w="19050">
            <a:solidFill>
              <a:schemeClr val="lt1"/>
            </a:solidFill>
          </a:ln>
          <a:effectLst/>
        </c:spPr>
      </c:pivotFmt>
      <c:pivotFmt>
        <c:idx val="1918"/>
        <c:spPr>
          <a:solidFill>
            <a:schemeClr val="accent1"/>
          </a:solidFill>
          <a:ln w="19050">
            <a:solidFill>
              <a:schemeClr val="lt1"/>
            </a:solidFill>
          </a:ln>
          <a:effectLst/>
        </c:spPr>
      </c:pivotFmt>
      <c:pivotFmt>
        <c:idx val="1919"/>
        <c:spPr>
          <a:solidFill>
            <a:schemeClr val="accent1"/>
          </a:solidFill>
          <a:ln w="19050">
            <a:solidFill>
              <a:schemeClr val="lt1"/>
            </a:solidFill>
          </a:ln>
          <a:effectLst/>
        </c:spPr>
      </c:pivotFmt>
      <c:pivotFmt>
        <c:idx val="1920"/>
        <c:spPr>
          <a:solidFill>
            <a:schemeClr val="accent1"/>
          </a:solidFill>
          <a:ln w="19050">
            <a:solidFill>
              <a:schemeClr val="lt1"/>
            </a:solidFill>
          </a:ln>
          <a:effectLst/>
        </c:spPr>
      </c:pivotFmt>
      <c:pivotFmt>
        <c:idx val="1921"/>
        <c:spPr>
          <a:solidFill>
            <a:schemeClr val="accent1"/>
          </a:solidFill>
          <a:ln w="19050">
            <a:solidFill>
              <a:schemeClr val="lt1"/>
            </a:solidFill>
          </a:ln>
          <a:effectLst/>
        </c:spPr>
      </c:pivotFmt>
      <c:pivotFmt>
        <c:idx val="1922"/>
        <c:spPr>
          <a:solidFill>
            <a:schemeClr val="accent1"/>
          </a:solidFill>
          <a:ln w="19050">
            <a:solidFill>
              <a:schemeClr val="lt1"/>
            </a:solidFill>
          </a:ln>
          <a:effectLst/>
        </c:spPr>
      </c:pivotFmt>
      <c:pivotFmt>
        <c:idx val="1923"/>
        <c:spPr>
          <a:solidFill>
            <a:schemeClr val="accent1"/>
          </a:solidFill>
          <a:ln w="19050">
            <a:solidFill>
              <a:schemeClr val="lt1"/>
            </a:solidFill>
          </a:ln>
          <a:effectLst/>
        </c:spPr>
      </c:pivotFmt>
      <c:pivotFmt>
        <c:idx val="1924"/>
        <c:spPr>
          <a:solidFill>
            <a:schemeClr val="accent1"/>
          </a:solidFill>
          <a:ln w="19050">
            <a:solidFill>
              <a:schemeClr val="lt1"/>
            </a:solidFill>
          </a:ln>
          <a:effectLst/>
        </c:spPr>
      </c:pivotFmt>
      <c:pivotFmt>
        <c:idx val="1925"/>
        <c:spPr>
          <a:solidFill>
            <a:schemeClr val="accent1"/>
          </a:solidFill>
          <a:ln w="19050">
            <a:solidFill>
              <a:schemeClr val="lt1"/>
            </a:solidFill>
          </a:ln>
          <a:effectLst/>
        </c:spPr>
      </c:pivotFmt>
      <c:pivotFmt>
        <c:idx val="19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7"/>
        <c:spPr>
          <a:solidFill>
            <a:schemeClr val="accent1"/>
          </a:solidFill>
          <a:ln w="19050">
            <a:solidFill>
              <a:schemeClr val="lt1"/>
            </a:solidFill>
          </a:ln>
          <a:effectLst/>
        </c:spPr>
      </c:pivotFmt>
      <c:pivotFmt>
        <c:idx val="1928"/>
        <c:spPr>
          <a:solidFill>
            <a:schemeClr val="accent1"/>
          </a:solidFill>
          <a:ln w="19050">
            <a:solidFill>
              <a:schemeClr val="lt1"/>
            </a:solidFill>
          </a:ln>
          <a:effectLst/>
        </c:spPr>
      </c:pivotFmt>
      <c:pivotFmt>
        <c:idx val="1929"/>
        <c:spPr>
          <a:solidFill>
            <a:schemeClr val="accent1"/>
          </a:solidFill>
          <a:ln w="19050">
            <a:solidFill>
              <a:schemeClr val="lt1"/>
            </a:solidFill>
          </a:ln>
          <a:effectLst/>
        </c:spPr>
      </c:pivotFmt>
      <c:pivotFmt>
        <c:idx val="1930"/>
        <c:spPr>
          <a:solidFill>
            <a:schemeClr val="accent1"/>
          </a:solidFill>
          <a:ln w="19050">
            <a:solidFill>
              <a:schemeClr val="lt1"/>
            </a:solidFill>
          </a:ln>
          <a:effectLst/>
        </c:spPr>
      </c:pivotFmt>
      <c:pivotFmt>
        <c:idx val="1931"/>
        <c:spPr>
          <a:solidFill>
            <a:schemeClr val="accent1"/>
          </a:solidFill>
          <a:ln w="19050">
            <a:solidFill>
              <a:schemeClr val="lt1"/>
            </a:solidFill>
          </a:ln>
          <a:effectLst/>
        </c:spPr>
      </c:pivotFmt>
      <c:pivotFmt>
        <c:idx val="1932"/>
        <c:spPr>
          <a:solidFill>
            <a:schemeClr val="accent1"/>
          </a:solidFill>
          <a:ln w="19050">
            <a:solidFill>
              <a:schemeClr val="lt1"/>
            </a:solidFill>
          </a:ln>
          <a:effectLst/>
        </c:spPr>
      </c:pivotFmt>
      <c:pivotFmt>
        <c:idx val="1933"/>
        <c:spPr>
          <a:solidFill>
            <a:schemeClr val="accent1"/>
          </a:solidFill>
          <a:ln w="19050">
            <a:solidFill>
              <a:schemeClr val="lt1"/>
            </a:solidFill>
          </a:ln>
          <a:effectLst/>
        </c:spPr>
      </c:pivotFmt>
      <c:pivotFmt>
        <c:idx val="1934"/>
        <c:spPr>
          <a:solidFill>
            <a:schemeClr val="accent1"/>
          </a:solidFill>
          <a:ln w="19050">
            <a:solidFill>
              <a:schemeClr val="lt1"/>
            </a:solidFill>
          </a:ln>
          <a:effectLst/>
        </c:spPr>
      </c:pivotFmt>
      <c:pivotFmt>
        <c:idx val="1935"/>
        <c:spPr>
          <a:solidFill>
            <a:schemeClr val="accent1"/>
          </a:solidFill>
          <a:ln w="19050">
            <a:solidFill>
              <a:schemeClr val="lt1"/>
            </a:solidFill>
          </a:ln>
          <a:effectLst/>
        </c:spPr>
      </c:pivotFmt>
      <c:pivotFmt>
        <c:idx val="1936"/>
        <c:spPr>
          <a:solidFill>
            <a:schemeClr val="accent1"/>
          </a:solidFill>
          <a:ln w="19050">
            <a:solidFill>
              <a:schemeClr val="lt1"/>
            </a:solidFill>
          </a:ln>
          <a:effectLst/>
        </c:spPr>
      </c:pivotFmt>
      <c:pivotFmt>
        <c:idx val="1937"/>
        <c:spPr>
          <a:solidFill>
            <a:schemeClr val="accent1"/>
          </a:solidFill>
          <a:ln w="19050">
            <a:solidFill>
              <a:schemeClr val="lt1"/>
            </a:solidFill>
          </a:ln>
          <a:effectLst/>
        </c:spPr>
      </c:pivotFmt>
      <c:pivotFmt>
        <c:idx val="1938"/>
        <c:spPr>
          <a:solidFill>
            <a:schemeClr val="accent1"/>
          </a:solidFill>
          <a:ln w="19050">
            <a:solidFill>
              <a:schemeClr val="lt1"/>
            </a:solidFill>
          </a:ln>
          <a:effectLst/>
        </c:spPr>
      </c:pivotFmt>
      <c:pivotFmt>
        <c:idx val="1939"/>
        <c:spPr>
          <a:solidFill>
            <a:schemeClr val="accent1"/>
          </a:solidFill>
          <a:ln w="19050">
            <a:solidFill>
              <a:schemeClr val="lt1"/>
            </a:solidFill>
          </a:ln>
          <a:effectLst/>
        </c:spPr>
      </c:pivotFmt>
      <c:pivotFmt>
        <c:idx val="1940"/>
        <c:spPr>
          <a:solidFill>
            <a:schemeClr val="accent1"/>
          </a:solidFill>
          <a:ln w="19050">
            <a:solidFill>
              <a:schemeClr val="lt1"/>
            </a:solidFill>
          </a:ln>
          <a:effectLst/>
        </c:spPr>
      </c:pivotFmt>
      <c:pivotFmt>
        <c:idx val="1941"/>
        <c:spPr>
          <a:solidFill>
            <a:schemeClr val="accent1"/>
          </a:solidFill>
          <a:ln w="19050">
            <a:solidFill>
              <a:schemeClr val="lt1"/>
            </a:solidFill>
          </a:ln>
          <a:effectLst/>
        </c:spPr>
      </c:pivotFmt>
      <c:pivotFmt>
        <c:idx val="1942"/>
        <c:spPr>
          <a:solidFill>
            <a:schemeClr val="accent1"/>
          </a:solidFill>
          <a:ln w="19050">
            <a:solidFill>
              <a:schemeClr val="lt1"/>
            </a:solidFill>
          </a:ln>
          <a:effectLst/>
        </c:spPr>
      </c:pivotFmt>
      <c:pivotFmt>
        <c:idx val="1943"/>
        <c:spPr>
          <a:solidFill>
            <a:schemeClr val="accent1"/>
          </a:solidFill>
          <a:ln w="19050">
            <a:solidFill>
              <a:schemeClr val="lt1"/>
            </a:solidFill>
          </a:ln>
          <a:effectLst/>
        </c:spPr>
      </c:pivotFmt>
      <c:pivotFmt>
        <c:idx val="1944"/>
        <c:spPr>
          <a:solidFill>
            <a:schemeClr val="accent1"/>
          </a:solidFill>
          <a:ln w="19050">
            <a:solidFill>
              <a:schemeClr val="lt1"/>
            </a:solidFill>
          </a:ln>
          <a:effectLst/>
        </c:spPr>
      </c:pivotFmt>
      <c:pivotFmt>
        <c:idx val="1945"/>
        <c:spPr>
          <a:solidFill>
            <a:schemeClr val="accent1"/>
          </a:solidFill>
          <a:ln w="19050">
            <a:solidFill>
              <a:schemeClr val="lt1"/>
            </a:solidFill>
          </a:ln>
          <a:effectLst/>
        </c:spPr>
      </c:pivotFmt>
      <c:pivotFmt>
        <c:idx val="1946"/>
        <c:spPr>
          <a:solidFill>
            <a:schemeClr val="accent1"/>
          </a:solidFill>
          <a:ln w="19050">
            <a:solidFill>
              <a:schemeClr val="lt1"/>
            </a:solidFill>
          </a:ln>
          <a:effectLst/>
        </c:spPr>
      </c:pivotFmt>
      <c:pivotFmt>
        <c:idx val="1947"/>
        <c:spPr>
          <a:solidFill>
            <a:schemeClr val="accent1"/>
          </a:solidFill>
          <a:ln w="19050">
            <a:solidFill>
              <a:schemeClr val="lt1"/>
            </a:solidFill>
          </a:ln>
          <a:effectLst/>
        </c:spPr>
      </c:pivotFmt>
      <c:pivotFmt>
        <c:idx val="1948"/>
        <c:spPr>
          <a:solidFill>
            <a:schemeClr val="accent1"/>
          </a:solidFill>
          <a:ln w="19050">
            <a:solidFill>
              <a:schemeClr val="lt1"/>
            </a:solidFill>
          </a:ln>
          <a:effectLst/>
        </c:spPr>
      </c:pivotFmt>
      <c:pivotFmt>
        <c:idx val="1949"/>
        <c:spPr>
          <a:solidFill>
            <a:schemeClr val="accent1"/>
          </a:solidFill>
          <a:ln w="19050">
            <a:solidFill>
              <a:schemeClr val="lt1"/>
            </a:solidFill>
          </a:ln>
          <a:effectLst/>
        </c:spPr>
      </c:pivotFmt>
      <c:pivotFmt>
        <c:idx val="1950"/>
        <c:spPr>
          <a:solidFill>
            <a:schemeClr val="accent1"/>
          </a:solidFill>
          <a:ln w="19050">
            <a:solidFill>
              <a:schemeClr val="lt1"/>
            </a:solidFill>
          </a:ln>
          <a:effectLst/>
        </c:spPr>
      </c:pivotFmt>
      <c:pivotFmt>
        <c:idx val="1951"/>
        <c:spPr>
          <a:solidFill>
            <a:schemeClr val="accent1"/>
          </a:solidFill>
          <a:ln w="19050">
            <a:solidFill>
              <a:schemeClr val="lt1"/>
            </a:solidFill>
          </a:ln>
          <a:effectLst/>
        </c:spPr>
      </c:pivotFmt>
      <c:pivotFmt>
        <c:idx val="1952"/>
        <c:spPr>
          <a:solidFill>
            <a:schemeClr val="accent1"/>
          </a:solidFill>
          <a:ln w="19050">
            <a:solidFill>
              <a:schemeClr val="lt1"/>
            </a:solidFill>
          </a:ln>
          <a:effectLst/>
        </c:spPr>
      </c:pivotFmt>
      <c:pivotFmt>
        <c:idx val="19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4"/>
        <c:spPr>
          <a:solidFill>
            <a:schemeClr val="accent1"/>
          </a:solidFill>
          <a:ln w="19050">
            <a:solidFill>
              <a:schemeClr val="lt1"/>
            </a:solidFill>
          </a:ln>
          <a:effectLst/>
        </c:spPr>
      </c:pivotFmt>
      <c:pivotFmt>
        <c:idx val="1955"/>
        <c:spPr>
          <a:solidFill>
            <a:schemeClr val="accent1"/>
          </a:solidFill>
          <a:ln w="19050">
            <a:solidFill>
              <a:schemeClr val="lt1"/>
            </a:solidFill>
          </a:ln>
          <a:effectLst/>
        </c:spPr>
      </c:pivotFmt>
      <c:pivotFmt>
        <c:idx val="1956"/>
        <c:spPr>
          <a:solidFill>
            <a:schemeClr val="accent1"/>
          </a:solidFill>
          <a:ln w="19050">
            <a:solidFill>
              <a:schemeClr val="lt1"/>
            </a:solidFill>
          </a:ln>
          <a:effectLst/>
        </c:spPr>
      </c:pivotFmt>
      <c:pivotFmt>
        <c:idx val="1957"/>
        <c:spPr>
          <a:solidFill>
            <a:schemeClr val="accent1"/>
          </a:solidFill>
          <a:ln w="19050">
            <a:solidFill>
              <a:schemeClr val="lt1"/>
            </a:solidFill>
          </a:ln>
          <a:effectLst/>
        </c:spPr>
      </c:pivotFmt>
      <c:pivotFmt>
        <c:idx val="1958"/>
        <c:spPr>
          <a:solidFill>
            <a:schemeClr val="accent1"/>
          </a:solidFill>
          <a:ln w="19050">
            <a:solidFill>
              <a:schemeClr val="lt1"/>
            </a:solidFill>
          </a:ln>
          <a:effectLst/>
        </c:spPr>
      </c:pivotFmt>
      <c:pivotFmt>
        <c:idx val="1959"/>
        <c:spPr>
          <a:solidFill>
            <a:schemeClr val="accent1"/>
          </a:solidFill>
          <a:ln w="19050">
            <a:solidFill>
              <a:schemeClr val="lt1"/>
            </a:solidFill>
          </a:ln>
          <a:effectLst/>
        </c:spPr>
      </c:pivotFmt>
      <c:pivotFmt>
        <c:idx val="1960"/>
        <c:spPr>
          <a:solidFill>
            <a:schemeClr val="accent1"/>
          </a:solidFill>
          <a:ln w="19050">
            <a:solidFill>
              <a:schemeClr val="lt1"/>
            </a:solidFill>
          </a:ln>
          <a:effectLst/>
        </c:spPr>
      </c:pivotFmt>
      <c:pivotFmt>
        <c:idx val="1961"/>
        <c:spPr>
          <a:solidFill>
            <a:schemeClr val="accent1"/>
          </a:solidFill>
          <a:ln w="19050">
            <a:solidFill>
              <a:schemeClr val="lt1"/>
            </a:solidFill>
          </a:ln>
          <a:effectLst/>
        </c:spPr>
      </c:pivotFmt>
      <c:pivotFmt>
        <c:idx val="1962"/>
        <c:spPr>
          <a:solidFill>
            <a:schemeClr val="accent1"/>
          </a:solidFill>
          <a:ln w="19050">
            <a:solidFill>
              <a:schemeClr val="lt1"/>
            </a:solidFill>
          </a:ln>
          <a:effectLst/>
        </c:spPr>
      </c:pivotFmt>
      <c:pivotFmt>
        <c:idx val="1963"/>
        <c:spPr>
          <a:solidFill>
            <a:schemeClr val="accent1"/>
          </a:solidFill>
          <a:ln w="19050">
            <a:solidFill>
              <a:schemeClr val="lt1"/>
            </a:solidFill>
          </a:ln>
          <a:effectLst/>
        </c:spPr>
      </c:pivotFmt>
      <c:pivotFmt>
        <c:idx val="1964"/>
        <c:spPr>
          <a:solidFill>
            <a:schemeClr val="accent1"/>
          </a:solidFill>
          <a:ln w="19050">
            <a:solidFill>
              <a:schemeClr val="lt1"/>
            </a:solidFill>
          </a:ln>
          <a:effectLst/>
        </c:spPr>
      </c:pivotFmt>
      <c:pivotFmt>
        <c:idx val="1965"/>
        <c:spPr>
          <a:solidFill>
            <a:schemeClr val="accent1"/>
          </a:solidFill>
          <a:ln w="19050">
            <a:solidFill>
              <a:schemeClr val="lt1"/>
            </a:solidFill>
          </a:ln>
          <a:effectLst/>
        </c:spPr>
      </c:pivotFmt>
      <c:pivotFmt>
        <c:idx val="1966"/>
        <c:spPr>
          <a:solidFill>
            <a:schemeClr val="accent1"/>
          </a:solidFill>
          <a:ln w="19050">
            <a:solidFill>
              <a:schemeClr val="lt1"/>
            </a:solidFill>
          </a:ln>
          <a:effectLst/>
        </c:spPr>
      </c:pivotFmt>
      <c:pivotFmt>
        <c:idx val="1967"/>
        <c:spPr>
          <a:solidFill>
            <a:schemeClr val="accent1"/>
          </a:solidFill>
          <a:ln w="19050">
            <a:solidFill>
              <a:schemeClr val="lt1"/>
            </a:solidFill>
          </a:ln>
          <a:effectLst/>
        </c:spPr>
      </c:pivotFmt>
      <c:pivotFmt>
        <c:idx val="1968"/>
        <c:spPr>
          <a:solidFill>
            <a:schemeClr val="accent1"/>
          </a:solidFill>
          <a:ln w="19050">
            <a:solidFill>
              <a:schemeClr val="lt1"/>
            </a:solidFill>
          </a:ln>
          <a:effectLst/>
        </c:spPr>
      </c:pivotFmt>
      <c:pivotFmt>
        <c:idx val="1969"/>
        <c:spPr>
          <a:solidFill>
            <a:schemeClr val="accent1"/>
          </a:solidFill>
          <a:ln w="19050">
            <a:solidFill>
              <a:schemeClr val="lt1"/>
            </a:solidFill>
          </a:ln>
          <a:effectLst/>
        </c:spPr>
      </c:pivotFmt>
      <c:pivotFmt>
        <c:idx val="1970"/>
        <c:spPr>
          <a:solidFill>
            <a:schemeClr val="accent1"/>
          </a:solidFill>
          <a:ln w="19050">
            <a:solidFill>
              <a:schemeClr val="lt1"/>
            </a:solidFill>
          </a:ln>
          <a:effectLst/>
        </c:spPr>
      </c:pivotFmt>
      <c:pivotFmt>
        <c:idx val="1971"/>
        <c:spPr>
          <a:solidFill>
            <a:schemeClr val="accent1"/>
          </a:solidFill>
          <a:ln w="19050">
            <a:solidFill>
              <a:schemeClr val="lt1"/>
            </a:solidFill>
          </a:ln>
          <a:effectLst/>
        </c:spPr>
      </c:pivotFmt>
      <c:pivotFmt>
        <c:idx val="1972"/>
        <c:spPr>
          <a:solidFill>
            <a:schemeClr val="accent1"/>
          </a:solidFill>
          <a:ln w="19050">
            <a:solidFill>
              <a:schemeClr val="lt1"/>
            </a:solidFill>
          </a:ln>
          <a:effectLst/>
        </c:spPr>
      </c:pivotFmt>
      <c:pivotFmt>
        <c:idx val="1973"/>
        <c:spPr>
          <a:solidFill>
            <a:schemeClr val="accent1"/>
          </a:solidFill>
          <a:ln w="19050">
            <a:solidFill>
              <a:schemeClr val="lt1"/>
            </a:solidFill>
          </a:ln>
          <a:effectLst/>
        </c:spPr>
      </c:pivotFmt>
      <c:pivotFmt>
        <c:idx val="1974"/>
        <c:spPr>
          <a:solidFill>
            <a:schemeClr val="accent1"/>
          </a:solidFill>
          <a:ln w="19050">
            <a:solidFill>
              <a:schemeClr val="lt1"/>
            </a:solidFill>
          </a:ln>
          <a:effectLst/>
        </c:spPr>
      </c:pivotFmt>
      <c:pivotFmt>
        <c:idx val="1975"/>
        <c:spPr>
          <a:solidFill>
            <a:schemeClr val="accent1"/>
          </a:solidFill>
          <a:ln w="19050">
            <a:solidFill>
              <a:schemeClr val="lt1"/>
            </a:solidFill>
          </a:ln>
          <a:effectLst/>
        </c:spPr>
      </c:pivotFmt>
      <c:pivotFmt>
        <c:idx val="1976"/>
        <c:spPr>
          <a:solidFill>
            <a:schemeClr val="accent1"/>
          </a:solidFill>
          <a:ln w="19050">
            <a:solidFill>
              <a:schemeClr val="lt1"/>
            </a:solidFill>
          </a:ln>
          <a:effectLst/>
        </c:spPr>
      </c:pivotFmt>
      <c:pivotFmt>
        <c:idx val="1977"/>
        <c:spPr>
          <a:solidFill>
            <a:schemeClr val="accent1"/>
          </a:solidFill>
          <a:ln w="19050">
            <a:solidFill>
              <a:schemeClr val="lt1"/>
            </a:solidFill>
          </a:ln>
          <a:effectLst/>
        </c:spPr>
      </c:pivotFmt>
      <c:pivotFmt>
        <c:idx val="1978"/>
        <c:spPr>
          <a:solidFill>
            <a:schemeClr val="accent1"/>
          </a:solidFill>
          <a:ln w="19050">
            <a:solidFill>
              <a:schemeClr val="lt1"/>
            </a:solidFill>
          </a:ln>
          <a:effectLst/>
        </c:spPr>
      </c:pivotFmt>
      <c:pivotFmt>
        <c:idx val="1979"/>
        <c:spPr>
          <a:solidFill>
            <a:schemeClr val="accent1"/>
          </a:solidFill>
          <a:ln w="19050">
            <a:solidFill>
              <a:schemeClr val="lt1"/>
            </a:solidFill>
          </a:ln>
          <a:effectLst/>
        </c:spPr>
      </c:pivotFmt>
      <c:pivotFmt>
        <c:idx val="19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1"/>
        <c:spPr>
          <a:solidFill>
            <a:schemeClr val="accent1"/>
          </a:solidFill>
          <a:ln w="19050">
            <a:solidFill>
              <a:schemeClr val="lt1"/>
            </a:solidFill>
          </a:ln>
          <a:effectLst/>
        </c:spPr>
      </c:pivotFmt>
      <c:pivotFmt>
        <c:idx val="1982"/>
        <c:spPr>
          <a:solidFill>
            <a:schemeClr val="accent1"/>
          </a:solidFill>
          <a:ln w="19050">
            <a:solidFill>
              <a:schemeClr val="lt1"/>
            </a:solidFill>
          </a:ln>
          <a:effectLst/>
        </c:spPr>
      </c:pivotFmt>
      <c:pivotFmt>
        <c:idx val="1983"/>
        <c:spPr>
          <a:solidFill>
            <a:schemeClr val="accent1"/>
          </a:solidFill>
          <a:ln w="19050">
            <a:solidFill>
              <a:schemeClr val="lt1"/>
            </a:solidFill>
          </a:ln>
          <a:effectLst/>
        </c:spPr>
      </c:pivotFmt>
      <c:pivotFmt>
        <c:idx val="1984"/>
        <c:spPr>
          <a:solidFill>
            <a:schemeClr val="accent1"/>
          </a:solidFill>
          <a:ln w="19050">
            <a:solidFill>
              <a:schemeClr val="lt1"/>
            </a:solidFill>
          </a:ln>
          <a:effectLst/>
        </c:spPr>
      </c:pivotFmt>
      <c:pivotFmt>
        <c:idx val="1985"/>
        <c:spPr>
          <a:solidFill>
            <a:schemeClr val="accent1"/>
          </a:solidFill>
          <a:ln w="19050">
            <a:solidFill>
              <a:schemeClr val="lt1"/>
            </a:solidFill>
          </a:ln>
          <a:effectLst/>
        </c:spPr>
      </c:pivotFmt>
      <c:pivotFmt>
        <c:idx val="1986"/>
        <c:spPr>
          <a:solidFill>
            <a:schemeClr val="accent1"/>
          </a:solidFill>
          <a:ln w="19050">
            <a:solidFill>
              <a:schemeClr val="lt1"/>
            </a:solidFill>
          </a:ln>
          <a:effectLst/>
        </c:spPr>
      </c:pivotFmt>
      <c:pivotFmt>
        <c:idx val="1987"/>
        <c:spPr>
          <a:solidFill>
            <a:schemeClr val="accent1"/>
          </a:solidFill>
          <a:ln w="19050">
            <a:solidFill>
              <a:schemeClr val="lt1"/>
            </a:solidFill>
          </a:ln>
          <a:effectLst/>
        </c:spPr>
      </c:pivotFmt>
      <c:pivotFmt>
        <c:idx val="1988"/>
        <c:spPr>
          <a:solidFill>
            <a:schemeClr val="accent1"/>
          </a:solidFill>
          <a:ln w="19050">
            <a:solidFill>
              <a:schemeClr val="lt1"/>
            </a:solidFill>
          </a:ln>
          <a:effectLst/>
        </c:spPr>
      </c:pivotFmt>
      <c:pivotFmt>
        <c:idx val="1989"/>
        <c:spPr>
          <a:solidFill>
            <a:schemeClr val="accent1"/>
          </a:solidFill>
          <a:ln w="19050">
            <a:solidFill>
              <a:schemeClr val="lt1"/>
            </a:solidFill>
          </a:ln>
          <a:effectLst/>
        </c:spPr>
      </c:pivotFmt>
      <c:pivotFmt>
        <c:idx val="1990"/>
        <c:spPr>
          <a:solidFill>
            <a:schemeClr val="accent1"/>
          </a:solidFill>
          <a:ln w="19050">
            <a:solidFill>
              <a:schemeClr val="lt1"/>
            </a:solidFill>
          </a:ln>
          <a:effectLst/>
        </c:spPr>
      </c:pivotFmt>
      <c:pivotFmt>
        <c:idx val="1991"/>
        <c:spPr>
          <a:solidFill>
            <a:schemeClr val="accent1"/>
          </a:solidFill>
          <a:ln w="19050">
            <a:solidFill>
              <a:schemeClr val="lt1"/>
            </a:solidFill>
          </a:ln>
          <a:effectLst/>
        </c:spPr>
      </c:pivotFmt>
      <c:pivotFmt>
        <c:idx val="1992"/>
        <c:spPr>
          <a:solidFill>
            <a:schemeClr val="accent1"/>
          </a:solidFill>
          <a:ln w="19050">
            <a:solidFill>
              <a:schemeClr val="lt1"/>
            </a:solidFill>
          </a:ln>
          <a:effectLst/>
        </c:spPr>
      </c:pivotFmt>
      <c:pivotFmt>
        <c:idx val="1993"/>
        <c:spPr>
          <a:solidFill>
            <a:schemeClr val="accent1"/>
          </a:solidFill>
          <a:ln w="19050">
            <a:solidFill>
              <a:schemeClr val="lt1"/>
            </a:solidFill>
          </a:ln>
          <a:effectLst/>
        </c:spPr>
      </c:pivotFmt>
      <c:pivotFmt>
        <c:idx val="1994"/>
        <c:spPr>
          <a:solidFill>
            <a:schemeClr val="accent1"/>
          </a:solidFill>
          <a:ln w="19050">
            <a:solidFill>
              <a:schemeClr val="lt1"/>
            </a:solidFill>
          </a:ln>
          <a:effectLst/>
        </c:spPr>
      </c:pivotFmt>
      <c:pivotFmt>
        <c:idx val="1995"/>
        <c:spPr>
          <a:solidFill>
            <a:schemeClr val="accent1"/>
          </a:solidFill>
          <a:ln w="19050">
            <a:solidFill>
              <a:schemeClr val="lt1"/>
            </a:solidFill>
          </a:ln>
          <a:effectLst/>
        </c:spPr>
      </c:pivotFmt>
      <c:pivotFmt>
        <c:idx val="1996"/>
        <c:spPr>
          <a:solidFill>
            <a:schemeClr val="accent1"/>
          </a:solidFill>
          <a:ln w="19050">
            <a:solidFill>
              <a:schemeClr val="lt1"/>
            </a:solidFill>
          </a:ln>
          <a:effectLst/>
        </c:spPr>
      </c:pivotFmt>
      <c:pivotFmt>
        <c:idx val="1997"/>
        <c:spPr>
          <a:solidFill>
            <a:schemeClr val="accent1"/>
          </a:solidFill>
          <a:ln w="19050">
            <a:solidFill>
              <a:schemeClr val="lt1"/>
            </a:solidFill>
          </a:ln>
          <a:effectLst/>
        </c:spPr>
      </c:pivotFmt>
      <c:pivotFmt>
        <c:idx val="1998"/>
        <c:spPr>
          <a:solidFill>
            <a:schemeClr val="accent1"/>
          </a:solidFill>
          <a:ln w="19050">
            <a:solidFill>
              <a:schemeClr val="lt1"/>
            </a:solidFill>
          </a:ln>
          <a:effectLst/>
        </c:spPr>
      </c:pivotFmt>
      <c:pivotFmt>
        <c:idx val="1999"/>
        <c:spPr>
          <a:solidFill>
            <a:schemeClr val="accent1"/>
          </a:solidFill>
          <a:ln w="19050">
            <a:solidFill>
              <a:schemeClr val="lt1"/>
            </a:solidFill>
          </a:ln>
          <a:effectLst/>
        </c:spPr>
      </c:pivotFmt>
      <c:pivotFmt>
        <c:idx val="2000"/>
        <c:spPr>
          <a:solidFill>
            <a:schemeClr val="accent1"/>
          </a:solidFill>
          <a:ln w="19050">
            <a:solidFill>
              <a:schemeClr val="lt1"/>
            </a:solidFill>
          </a:ln>
          <a:effectLst/>
        </c:spPr>
      </c:pivotFmt>
      <c:pivotFmt>
        <c:idx val="2001"/>
        <c:spPr>
          <a:solidFill>
            <a:schemeClr val="accent1"/>
          </a:solidFill>
          <a:ln w="19050">
            <a:solidFill>
              <a:schemeClr val="lt1"/>
            </a:solidFill>
          </a:ln>
          <a:effectLst/>
        </c:spPr>
      </c:pivotFmt>
      <c:pivotFmt>
        <c:idx val="2002"/>
        <c:spPr>
          <a:solidFill>
            <a:schemeClr val="accent1"/>
          </a:solidFill>
          <a:ln w="19050">
            <a:solidFill>
              <a:schemeClr val="lt1"/>
            </a:solidFill>
          </a:ln>
          <a:effectLst/>
        </c:spPr>
      </c:pivotFmt>
      <c:pivotFmt>
        <c:idx val="2003"/>
        <c:spPr>
          <a:solidFill>
            <a:schemeClr val="accent1"/>
          </a:solidFill>
          <a:ln w="19050">
            <a:solidFill>
              <a:schemeClr val="lt1"/>
            </a:solidFill>
          </a:ln>
          <a:effectLst/>
        </c:spPr>
      </c:pivotFmt>
      <c:pivotFmt>
        <c:idx val="2004"/>
        <c:spPr>
          <a:solidFill>
            <a:schemeClr val="accent1"/>
          </a:solidFill>
          <a:ln w="19050">
            <a:solidFill>
              <a:schemeClr val="lt1"/>
            </a:solidFill>
          </a:ln>
          <a:effectLst/>
        </c:spPr>
      </c:pivotFmt>
      <c:pivotFmt>
        <c:idx val="2005"/>
        <c:spPr>
          <a:solidFill>
            <a:schemeClr val="accent1"/>
          </a:solidFill>
          <a:ln w="19050">
            <a:solidFill>
              <a:schemeClr val="lt1"/>
            </a:solidFill>
          </a:ln>
          <a:effectLst/>
        </c:spPr>
      </c:pivotFmt>
      <c:pivotFmt>
        <c:idx val="2006"/>
        <c:spPr>
          <a:solidFill>
            <a:schemeClr val="accent1"/>
          </a:solidFill>
          <a:ln w="19050">
            <a:solidFill>
              <a:schemeClr val="lt1"/>
            </a:solidFill>
          </a:ln>
          <a:effectLst/>
        </c:spPr>
      </c:pivotFmt>
      <c:pivotFmt>
        <c:idx val="20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8"/>
        <c:spPr>
          <a:solidFill>
            <a:schemeClr val="accent1"/>
          </a:solidFill>
          <a:ln w="19050">
            <a:solidFill>
              <a:schemeClr val="lt1"/>
            </a:solidFill>
          </a:ln>
          <a:effectLst/>
        </c:spPr>
      </c:pivotFmt>
      <c:pivotFmt>
        <c:idx val="2009"/>
        <c:spPr>
          <a:solidFill>
            <a:schemeClr val="accent1"/>
          </a:solidFill>
          <a:ln w="19050">
            <a:solidFill>
              <a:schemeClr val="lt1"/>
            </a:solidFill>
          </a:ln>
          <a:effectLst/>
        </c:spPr>
      </c:pivotFmt>
      <c:pivotFmt>
        <c:idx val="2010"/>
        <c:spPr>
          <a:solidFill>
            <a:schemeClr val="accent1"/>
          </a:solidFill>
          <a:ln w="19050">
            <a:solidFill>
              <a:schemeClr val="lt1"/>
            </a:solidFill>
          </a:ln>
          <a:effectLst/>
        </c:spPr>
      </c:pivotFmt>
      <c:pivotFmt>
        <c:idx val="2011"/>
        <c:spPr>
          <a:solidFill>
            <a:schemeClr val="accent1"/>
          </a:solidFill>
          <a:ln w="19050">
            <a:solidFill>
              <a:schemeClr val="lt1"/>
            </a:solidFill>
          </a:ln>
          <a:effectLst/>
        </c:spPr>
      </c:pivotFmt>
      <c:pivotFmt>
        <c:idx val="2012"/>
        <c:spPr>
          <a:solidFill>
            <a:schemeClr val="accent1"/>
          </a:solidFill>
          <a:ln w="19050">
            <a:solidFill>
              <a:schemeClr val="lt1"/>
            </a:solidFill>
          </a:ln>
          <a:effectLst/>
        </c:spPr>
      </c:pivotFmt>
      <c:pivotFmt>
        <c:idx val="2013"/>
        <c:spPr>
          <a:solidFill>
            <a:schemeClr val="accent1"/>
          </a:solidFill>
          <a:ln w="19050">
            <a:solidFill>
              <a:schemeClr val="lt1"/>
            </a:solidFill>
          </a:ln>
          <a:effectLst/>
        </c:spPr>
      </c:pivotFmt>
      <c:pivotFmt>
        <c:idx val="2014"/>
        <c:spPr>
          <a:solidFill>
            <a:schemeClr val="accent1"/>
          </a:solidFill>
          <a:ln w="19050">
            <a:solidFill>
              <a:schemeClr val="lt1"/>
            </a:solidFill>
          </a:ln>
          <a:effectLst/>
        </c:spPr>
      </c:pivotFmt>
      <c:pivotFmt>
        <c:idx val="2015"/>
        <c:spPr>
          <a:solidFill>
            <a:schemeClr val="accent1"/>
          </a:solidFill>
          <a:ln w="19050">
            <a:solidFill>
              <a:schemeClr val="lt1"/>
            </a:solidFill>
          </a:ln>
          <a:effectLst/>
        </c:spPr>
      </c:pivotFmt>
      <c:pivotFmt>
        <c:idx val="2016"/>
        <c:spPr>
          <a:solidFill>
            <a:schemeClr val="accent1"/>
          </a:solidFill>
          <a:ln w="19050">
            <a:solidFill>
              <a:schemeClr val="lt1"/>
            </a:solidFill>
          </a:ln>
          <a:effectLst/>
        </c:spPr>
      </c:pivotFmt>
      <c:pivotFmt>
        <c:idx val="2017"/>
        <c:spPr>
          <a:solidFill>
            <a:schemeClr val="accent1"/>
          </a:solidFill>
          <a:ln w="19050">
            <a:solidFill>
              <a:schemeClr val="lt1"/>
            </a:solidFill>
          </a:ln>
          <a:effectLst/>
        </c:spPr>
      </c:pivotFmt>
      <c:pivotFmt>
        <c:idx val="2018"/>
        <c:spPr>
          <a:solidFill>
            <a:schemeClr val="accent1"/>
          </a:solidFill>
          <a:ln w="19050">
            <a:solidFill>
              <a:schemeClr val="lt1"/>
            </a:solidFill>
          </a:ln>
          <a:effectLst/>
        </c:spPr>
      </c:pivotFmt>
      <c:pivotFmt>
        <c:idx val="2019"/>
        <c:spPr>
          <a:solidFill>
            <a:schemeClr val="accent1"/>
          </a:solidFill>
          <a:ln w="19050">
            <a:solidFill>
              <a:schemeClr val="lt1"/>
            </a:solidFill>
          </a:ln>
          <a:effectLst/>
        </c:spPr>
      </c:pivotFmt>
      <c:pivotFmt>
        <c:idx val="2020"/>
        <c:spPr>
          <a:solidFill>
            <a:schemeClr val="accent1"/>
          </a:solidFill>
          <a:ln w="19050">
            <a:solidFill>
              <a:schemeClr val="lt1"/>
            </a:solidFill>
          </a:ln>
          <a:effectLst/>
        </c:spPr>
      </c:pivotFmt>
      <c:pivotFmt>
        <c:idx val="2021"/>
        <c:spPr>
          <a:solidFill>
            <a:schemeClr val="accent1"/>
          </a:solidFill>
          <a:ln w="19050">
            <a:solidFill>
              <a:schemeClr val="lt1"/>
            </a:solidFill>
          </a:ln>
          <a:effectLst/>
        </c:spPr>
      </c:pivotFmt>
      <c:pivotFmt>
        <c:idx val="2022"/>
        <c:spPr>
          <a:solidFill>
            <a:schemeClr val="accent1"/>
          </a:solidFill>
          <a:ln w="19050">
            <a:solidFill>
              <a:schemeClr val="lt1"/>
            </a:solidFill>
          </a:ln>
          <a:effectLst/>
        </c:spPr>
      </c:pivotFmt>
      <c:pivotFmt>
        <c:idx val="2023"/>
        <c:spPr>
          <a:solidFill>
            <a:schemeClr val="accent1"/>
          </a:solidFill>
          <a:ln w="19050">
            <a:solidFill>
              <a:schemeClr val="lt1"/>
            </a:solidFill>
          </a:ln>
          <a:effectLst/>
        </c:spPr>
      </c:pivotFmt>
      <c:pivotFmt>
        <c:idx val="2024"/>
        <c:spPr>
          <a:solidFill>
            <a:schemeClr val="accent1"/>
          </a:solidFill>
          <a:ln w="19050">
            <a:solidFill>
              <a:schemeClr val="lt1"/>
            </a:solidFill>
          </a:ln>
          <a:effectLst/>
        </c:spPr>
      </c:pivotFmt>
      <c:pivotFmt>
        <c:idx val="2025"/>
        <c:spPr>
          <a:solidFill>
            <a:schemeClr val="accent1"/>
          </a:solidFill>
          <a:ln w="19050">
            <a:solidFill>
              <a:schemeClr val="lt1"/>
            </a:solidFill>
          </a:ln>
          <a:effectLst/>
        </c:spPr>
      </c:pivotFmt>
      <c:pivotFmt>
        <c:idx val="2026"/>
        <c:spPr>
          <a:solidFill>
            <a:schemeClr val="accent1"/>
          </a:solidFill>
          <a:ln w="19050">
            <a:solidFill>
              <a:schemeClr val="lt1"/>
            </a:solidFill>
          </a:ln>
          <a:effectLst/>
        </c:spPr>
      </c:pivotFmt>
      <c:pivotFmt>
        <c:idx val="2027"/>
        <c:spPr>
          <a:solidFill>
            <a:schemeClr val="accent1"/>
          </a:solidFill>
          <a:ln w="19050">
            <a:solidFill>
              <a:schemeClr val="lt1"/>
            </a:solidFill>
          </a:ln>
          <a:effectLst/>
        </c:spPr>
      </c:pivotFmt>
      <c:pivotFmt>
        <c:idx val="2028"/>
        <c:spPr>
          <a:solidFill>
            <a:schemeClr val="accent1"/>
          </a:solidFill>
          <a:ln w="19050">
            <a:solidFill>
              <a:schemeClr val="lt1"/>
            </a:solidFill>
          </a:ln>
          <a:effectLst/>
        </c:spPr>
      </c:pivotFmt>
      <c:pivotFmt>
        <c:idx val="2029"/>
        <c:spPr>
          <a:solidFill>
            <a:schemeClr val="accent1"/>
          </a:solidFill>
          <a:ln w="19050">
            <a:solidFill>
              <a:schemeClr val="lt1"/>
            </a:solidFill>
          </a:ln>
          <a:effectLst/>
        </c:spPr>
      </c:pivotFmt>
      <c:pivotFmt>
        <c:idx val="2030"/>
        <c:spPr>
          <a:solidFill>
            <a:schemeClr val="accent1"/>
          </a:solidFill>
          <a:ln w="19050">
            <a:solidFill>
              <a:schemeClr val="lt1"/>
            </a:solidFill>
          </a:ln>
          <a:effectLst/>
        </c:spPr>
      </c:pivotFmt>
      <c:pivotFmt>
        <c:idx val="2031"/>
        <c:spPr>
          <a:solidFill>
            <a:schemeClr val="accent1"/>
          </a:solidFill>
          <a:ln w="19050">
            <a:solidFill>
              <a:schemeClr val="lt1"/>
            </a:solidFill>
          </a:ln>
          <a:effectLst/>
        </c:spPr>
      </c:pivotFmt>
      <c:pivotFmt>
        <c:idx val="2032"/>
        <c:spPr>
          <a:solidFill>
            <a:schemeClr val="accent1"/>
          </a:solidFill>
          <a:ln w="19050">
            <a:solidFill>
              <a:schemeClr val="lt1"/>
            </a:solidFill>
          </a:ln>
          <a:effectLst/>
        </c:spPr>
      </c:pivotFmt>
      <c:pivotFmt>
        <c:idx val="2033"/>
        <c:spPr>
          <a:solidFill>
            <a:schemeClr val="accent1"/>
          </a:solidFill>
          <a:ln w="19050">
            <a:solidFill>
              <a:schemeClr val="lt1"/>
            </a:solidFill>
          </a:ln>
          <a:effectLst/>
        </c:spPr>
      </c:pivotFmt>
      <c:pivotFmt>
        <c:idx val="20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5"/>
        <c:spPr>
          <a:solidFill>
            <a:schemeClr val="accent1"/>
          </a:solidFill>
          <a:ln w="19050">
            <a:solidFill>
              <a:schemeClr val="lt1"/>
            </a:solidFill>
          </a:ln>
          <a:effectLst/>
        </c:spPr>
      </c:pivotFmt>
      <c:pivotFmt>
        <c:idx val="2036"/>
        <c:spPr>
          <a:solidFill>
            <a:schemeClr val="accent1"/>
          </a:solidFill>
          <a:ln w="19050">
            <a:solidFill>
              <a:schemeClr val="lt1"/>
            </a:solidFill>
          </a:ln>
          <a:effectLst/>
        </c:spPr>
      </c:pivotFmt>
      <c:pivotFmt>
        <c:idx val="2037"/>
        <c:spPr>
          <a:solidFill>
            <a:schemeClr val="accent1"/>
          </a:solidFill>
          <a:ln w="19050">
            <a:solidFill>
              <a:schemeClr val="lt1"/>
            </a:solidFill>
          </a:ln>
          <a:effectLst/>
        </c:spPr>
      </c:pivotFmt>
      <c:pivotFmt>
        <c:idx val="2038"/>
        <c:spPr>
          <a:solidFill>
            <a:schemeClr val="accent1"/>
          </a:solidFill>
          <a:ln w="19050">
            <a:solidFill>
              <a:schemeClr val="lt1"/>
            </a:solidFill>
          </a:ln>
          <a:effectLst/>
        </c:spPr>
      </c:pivotFmt>
      <c:pivotFmt>
        <c:idx val="2039"/>
        <c:spPr>
          <a:solidFill>
            <a:schemeClr val="accent1"/>
          </a:solidFill>
          <a:ln w="19050">
            <a:solidFill>
              <a:schemeClr val="lt1"/>
            </a:solidFill>
          </a:ln>
          <a:effectLst/>
        </c:spPr>
      </c:pivotFmt>
      <c:pivotFmt>
        <c:idx val="2040"/>
        <c:spPr>
          <a:solidFill>
            <a:schemeClr val="accent1"/>
          </a:solidFill>
          <a:ln w="19050">
            <a:solidFill>
              <a:schemeClr val="lt1"/>
            </a:solidFill>
          </a:ln>
          <a:effectLst/>
        </c:spPr>
      </c:pivotFmt>
      <c:pivotFmt>
        <c:idx val="2041"/>
        <c:spPr>
          <a:solidFill>
            <a:schemeClr val="accent1"/>
          </a:solidFill>
          <a:ln w="19050">
            <a:solidFill>
              <a:schemeClr val="lt1"/>
            </a:solidFill>
          </a:ln>
          <a:effectLst/>
        </c:spPr>
      </c:pivotFmt>
      <c:pivotFmt>
        <c:idx val="2042"/>
        <c:spPr>
          <a:solidFill>
            <a:schemeClr val="accent1"/>
          </a:solidFill>
          <a:ln w="19050">
            <a:solidFill>
              <a:schemeClr val="lt1"/>
            </a:solidFill>
          </a:ln>
          <a:effectLst/>
        </c:spPr>
      </c:pivotFmt>
      <c:pivotFmt>
        <c:idx val="2043"/>
        <c:spPr>
          <a:solidFill>
            <a:schemeClr val="accent1"/>
          </a:solidFill>
          <a:ln w="19050">
            <a:solidFill>
              <a:schemeClr val="lt1"/>
            </a:solidFill>
          </a:ln>
          <a:effectLst/>
        </c:spPr>
      </c:pivotFmt>
      <c:pivotFmt>
        <c:idx val="2044"/>
        <c:spPr>
          <a:solidFill>
            <a:schemeClr val="accent1"/>
          </a:solidFill>
          <a:ln w="19050">
            <a:solidFill>
              <a:schemeClr val="lt1"/>
            </a:solidFill>
          </a:ln>
          <a:effectLst/>
        </c:spPr>
      </c:pivotFmt>
      <c:pivotFmt>
        <c:idx val="2045"/>
        <c:spPr>
          <a:solidFill>
            <a:schemeClr val="accent1"/>
          </a:solidFill>
          <a:ln w="19050">
            <a:solidFill>
              <a:schemeClr val="lt1"/>
            </a:solidFill>
          </a:ln>
          <a:effectLst/>
        </c:spPr>
      </c:pivotFmt>
      <c:pivotFmt>
        <c:idx val="2046"/>
        <c:spPr>
          <a:solidFill>
            <a:schemeClr val="accent1"/>
          </a:solidFill>
          <a:ln w="19050">
            <a:solidFill>
              <a:schemeClr val="lt1"/>
            </a:solidFill>
          </a:ln>
          <a:effectLst/>
        </c:spPr>
      </c:pivotFmt>
      <c:pivotFmt>
        <c:idx val="2047"/>
        <c:spPr>
          <a:solidFill>
            <a:schemeClr val="accent1"/>
          </a:solidFill>
          <a:ln w="19050">
            <a:solidFill>
              <a:schemeClr val="lt1"/>
            </a:solidFill>
          </a:ln>
          <a:effectLst/>
        </c:spPr>
      </c:pivotFmt>
      <c:pivotFmt>
        <c:idx val="2048"/>
        <c:spPr>
          <a:solidFill>
            <a:schemeClr val="accent1"/>
          </a:solidFill>
          <a:ln w="19050">
            <a:solidFill>
              <a:schemeClr val="lt1"/>
            </a:solidFill>
          </a:ln>
          <a:effectLst/>
        </c:spPr>
      </c:pivotFmt>
      <c:pivotFmt>
        <c:idx val="2049"/>
        <c:spPr>
          <a:solidFill>
            <a:schemeClr val="accent1"/>
          </a:solidFill>
          <a:ln w="19050">
            <a:solidFill>
              <a:schemeClr val="lt1"/>
            </a:solidFill>
          </a:ln>
          <a:effectLst/>
        </c:spPr>
      </c:pivotFmt>
      <c:pivotFmt>
        <c:idx val="2050"/>
        <c:spPr>
          <a:solidFill>
            <a:schemeClr val="accent1"/>
          </a:solidFill>
          <a:ln w="19050">
            <a:solidFill>
              <a:schemeClr val="lt1"/>
            </a:solidFill>
          </a:ln>
          <a:effectLst/>
        </c:spPr>
      </c:pivotFmt>
      <c:pivotFmt>
        <c:idx val="2051"/>
        <c:spPr>
          <a:solidFill>
            <a:schemeClr val="accent1"/>
          </a:solidFill>
          <a:ln w="19050">
            <a:solidFill>
              <a:schemeClr val="lt1"/>
            </a:solidFill>
          </a:ln>
          <a:effectLst/>
        </c:spPr>
      </c:pivotFmt>
      <c:pivotFmt>
        <c:idx val="2052"/>
        <c:spPr>
          <a:solidFill>
            <a:schemeClr val="accent1"/>
          </a:solidFill>
          <a:ln w="19050">
            <a:solidFill>
              <a:schemeClr val="lt1"/>
            </a:solidFill>
          </a:ln>
          <a:effectLst/>
        </c:spPr>
      </c:pivotFmt>
      <c:pivotFmt>
        <c:idx val="2053"/>
        <c:spPr>
          <a:solidFill>
            <a:schemeClr val="accent1"/>
          </a:solidFill>
          <a:ln w="19050">
            <a:solidFill>
              <a:schemeClr val="lt1"/>
            </a:solidFill>
          </a:ln>
          <a:effectLst/>
        </c:spPr>
      </c:pivotFmt>
      <c:pivotFmt>
        <c:idx val="2054"/>
        <c:spPr>
          <a:solidFill>
            <a:schemeClr val="accent1"/>
          </a:solidFill>
          <a:ln w="19050">
            <a:solidFill>
              <a:schemeClr val="lt1"/>
            </a:solidFill>
          </a:ln>
          <a:effectLst/>
        </c:spPr>
      </c:pivotFmt>
      <c:pivotFmt>
        <c:idx val="2055"/>
        <c:spPr>
          <a:solidFill>
            <a:schemeClr val="accent1"/>
          </a:solidFill>
          <a:ln w="19050">
            <a:solidFill>
              <a:schemeClr val="lt1"/>
            </a:solidFill>
          </a:ln>
          <a:effectLst/>
        </c:spPr>
      </c:pivotFmt>
      <c:pivotFmt>
        <c:idx val="2056"/>
        <c:spPr>
          <a:solidFill>
            <a:schemeClr val="accent1"/>
          </a:solidFill>
          <a:ln w="19050">
            <a:solidFill>
              <a:schemeClr val="lt1"/>
            </a:solidFill>
          </a:ln>
          <a:effectLst/>
        </c:spPr>
      </c:pivotFmt>
      <c:pivotFmt>
        <c:idx val="2057"/>
        <c:spPr>
          <a:solidFill>
            <a:schemeClr val="accent1"/>
          </a:solidFill>
          <a:ln w="19050">
            <a:solidFill>
              <a:schemeClr val="lt1"/>
            </a:solidFill>
          </a:ln>
          <a:effectLst/>
        </c:spPr>
      </c:pivotFmt>
      <c:pivotFmt>
        <c:idx val="2058"/>
        <c:spPr>
          <a:solidFill>
            <a:schemeClr val="accent1"/>
          </a:solidFill>
          <a:ln w="19050">
            <a:solidFill>
              <a:schemeClr val="lt1"/>
            </a:solidFill>
          </a:ln>
          <a:effectLst/>
        </c:spPr>
      </c:pivotFmt>
      <c:pivotFmt>
        <c:idx val="2059"/>
        <c:spPr>
          <a:solidFill>
            <a:schemeClr val="accent1"/>
          </a:solidFill>
          <a:ln w="19050">
            <a:solidFill>
              <a:schemeClr val="lt1"/>
            </a:solidFill>
          </a:ln>
          <a:effectLst/>
        </c:spPr>
      </c:pivotFmt>
      <c:pivotFmt>
        <c:idx val="2060"/>
        <c:spPr>
          <a:solidFill>
            <a:schemeClr val="accent1"/>
          </a:solidFill>
          <a:ln w="19050">
            <a:solidFill>
              <a:schemeClr val="lt1"/>
            </a:solidFill>
          </a:ln>
          <a:effectLst/>
        </c:spPr>
      </c:pivotFmt>
      <c:pivotFmt>
        <c:idx val="20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2"/>
        <c:spPr>
          <a:solidFill>
            <a:schemeClr val="accent1"/>
          </a:solidFill>
          <a:ln w="19050">
            <a:solidFill>
              <a:schemeClr val="lt1"/>
            </a:solidFill>
          </a:ln>
          <a:effectLst/>
        </c:spPr>
      </c:pivotFmt>
      <c:pivotFmt>
        <c:idx val="2063"/>
        <c:spPr>
          <a:solidFill>
            <a:schemeClr val="accent1"/>
          </a:solidFill>
          <a:ln w="19050">
            <a:solidFill>
              <a:schemeClr val="lt1"/>
            </a:solidFill>
          </a:ln>
          <a:effectLst/>
        </c:spPr>
      </c:pivotFmt>
      <c:pivotFmt>
        <c:idx val="2064"/>
        <c:spPr>
          <a:solidFill>
            <a:schemeClr val="accent1"/>
          </a:solidFill>
          <a:ln w="19050">
            <a:solidFill>
              <a:schemeClr val="lt1"/>
            </a:solidFill>
          </a:ln>
          <a:effectLst/>
        </c:spPr>
      </c:pivotFmt>
      <c:pivotFmt>
        <c:idx val="2065"/>
        <c:spPr>
          <a:solidFill>
            <a:schemeClr val="accent1"/>
          </a:solidFill>
          <a:ln w="19050">
            <a:solidFill>
              <a:schemeClr val="lt1"/>
            </a:solidFill>
          </a:ln>
          <a:effectLst/>
        </c:spPr>
      </c:pivotFmt>
      <c:pivotFmt>
        <c:idx val="2066"/>
        <c:spPr>
          <a:solidFill>
            <a:schemeClr val="accent1"/>
          </a:solidFill>
          <a:ln w="19050">
            <a:solidFill>
              <a:schemeClr val="lt1"/>
            </a:solidFill>
          </a:ln>
          <a:effectLst/>
        </c:spPr>
      </c:pivotFmt>
      <c:pivotFmt>
        <c:idx val="2067"/>
        <c:spPr>
          <a:solidFill>
            <a:schemeClr val="accent1"/>
          </a:solidFill>
          <a:ln w="19050">
            <a:solidFill>
              <a:schemeClr val="lt1"/>
            </a:solidFill>
          </a:ln>
          <a:effectLst/>
        </c:spPr>
      </c:pivotFmt>
      <c:pivotFmt>
        <c:idx val="2068"/>
        <c:spPr>
          <a:solidFill>
            <a:schemeClr val="accent1"/>
          </a:solidFill>
          <a:ln w="19050">
            <a:solidFill>
              <a:schemeClr val="lt1"/>
            </a:solidFill>
          </a:ln>
          <a:effectLst/>
        </c:spPr>
      </c:pivotFmt>
      <c:pivotFmt>
        <c:idx val="2069"/>
        <c:spPr>
          <a:solidFill>
            <a:schemeClr val="accent1"/>
          </a:solidFill>
          <a:ln w="19050">
            <a:solidFill>
              <a:schemeClr val="lt1"/>
            </a:solidFill>
          </a:ln>
          <a:effectLst/>
        </c:spPr>
      </c:pivotFmt>
      <c:pivotFmt>
        <c:idx val="2070"/>
        <c:spPr>
          <a:solidFill>
            <a:schemeClr val="accent1"/>
          </a:solidFill>
          <a:ln w="19050">
            <a:solidFill>
              <a:schemeClr val="lt1"/>
            </a:solidFill>
          </a:ln>
          <a:effectLst/>
        </c:spPr>
      </c:pivotFmt>
      <c:pivotFmt>
        <c:idx val="2071"/>
        <c:spPr>
          <a:solidFill>
            <a:schemeClr val="accent1"/>
          </a:solidFill>
          <a:ln w="19050">
            <a:solidFill>
              <a:schemeClr val="lt1"/>
            </a:solidFill>
          </a:ln>
          <a:effectLst/>
        </c:spPr>
      </c:pivotFmt>
      <c:pivotFmt>
        <c:idx val="2072"/>
        <c:spPr>
          <a:solidFill>
            <a:schemeClr val="accent1"/>
          </a:solidFill>
          <a:ln w="19050">
            <a:solidFill>
              <a:schemeClr val="lt1"/>
            </a:solidFill>
          </a:ln>
          <a:effectLst/>
        </c:spPr>
      </c:pivotFmt>
      <c:pivotFmt>
        <c:idx val="2073"/>
        <c:spPr>
          <a:solidFill>
            <a:schemeClr val="accent1"/>
          </a:solidFill>
          <a:ln w="19050">
            <a:solidFill>
              <a:schemeClr val="lt1"/>
            </a:solidFill>
          </a:ln>
          <a:effectLst/>
        </c:spPr>
      </c:pivotFmt>
      <c:pivotFmt>
        <c:idx val="2074"/>
        <c:spPr>
          <a:solidFill>
            <a:schemeClr val="accent1"/>
          </a:solidFill>
          <a:ln w="19050">
            <a:solidFill>
              <a:schemeClr val="lt1"/>
            </a:solidFill>
          </a:ln>
          <a:effectLst/>
        </c:spPr>
      </c:pivotFmt>
      <c:pivotFmt>
        <c:idx val="2075"/>
        <c:spPr>
          <a:solidFill>
            <a:schemeClr val="accent1"/>
          </a:solidFill>
          <a:ln w="19050">
            <a:solidFill>
              <a:schemeClr val="lt1"/>
            </a:solidFill>
          </a:ln>
          <a:effectLst/>
        </c:spPr>
      </c:pivotFmt>
      <c:pivotFmt>
        <c:idx val="2076"/>
        <c:spPr>
          <a:solidFill>
            <a:schemeClr val="accent1"/>
          </a:solidFill>
          <a:ln w="19050">
            <a:solidFill>
              <a:schemeClr val="lt1"/>
            </a:solidFill>
          </a:ln>
          <a:effectLst/>
        </c:spPr>
      </c:pivotFmt>
      <c:pivotFmt>
        <c:idx val="2077"/>
        <c:spPr>
          <a:solidFill>
            <a:schemeClr val="accent1"/>
          </a:solidFill>
          <a:ln w="19050">
            <a:solidFill>
              <a:schemeClr val="lt1"/>
            </a:solidFill>
          </a:ln>
          <a:effectLst/>
        </c:spPr>
      </c:pivotFmt>
      <c:pivotFmt>
        <c:idx val="2078"/>
        <c:spPr>
          <a:solidFill>
            <a:schemeClr val="accent1"/>
          </a:solidFill>
          <a:ln w="19050">
            <a:solidFill>
              <a:schemeClr val="lt1"/>
            </a:solidFill>
          </a:ln>
          <a:effectLst/>
        </c:spPr>
      </c:pivotFmt>
      <c:pivotFmt>
        <c:idx val="2079"/>
        <c:spPr>
          <a:solidFill>
            <a:schemeClr val="accent1"/>
          </a:solidFill>
          <a:ln w="19050">
            <a:solidFill>
              <a:schemeClr val="lt1"/>
            </a:solidFill>
          </a:ln>
          <a:effectLst/>
        </c:spPr>
      </c:pivotFmt>
      <c:pivotFmt>
        <c:idx val="2080"/>
        <c:spPr>
          <a:solidFill>
            <a:schemeClr val="accent1"/>
          </a:solidFill>
          <a:ln w="19050">
            <a:solidFill>
              <a:schemeClr val="lt1"/>
            </a:solidFill>
          </a:ln>
          <a:effectLst/>
        </c:spPr>
      </c:pivotFmt>
      <c:pivotFmt>
        <c:idx val="2081"/>
        <c:spPr>
          <a:solidFill>
            <a:schemeClr val="accent1"/>
          </a:solidFill>
          <a:ln w="19050">
            <a:solidFill>
              <a:schemeClr val="lt1"/>
            </a:solidFill>
          </a:ln>
          <a:effectLst/>
        </c:spPr>
      </c:pivotFmt>
      <c:pivotFmt>
        <c:idx val="2082"/>
        <c:spPr>
          <a:solidFill>
            <a:schemeClr val="accent1"/>
          </a:solidFill>
          <a:ln w="19050">
            <a:solidFill>
              <a:schemeClr val="lt1"/>
            </a:solidFill>
          </a:ln>
          <a:effectLst/>
        </c:spPr>
      </c:pivotFmt>
      <c:pivotFmt>
        <c:idx val="2083"/>
        <c:spPr>
          <a:solidFill>
            <a:schemeClr val="accent1"/>
          </a:solidFill>
          <a:ln w="19050">
            <a:solidFill>
              <a:schemeClr val="lt1"/>
            </a:solidFill>
          </a:ln>
          <a:effectLst/>
        </c:spPr>
      </c:pivotFmt>
      <c:pivotFmt>
        <c:idx val="2084"/>
        <c:spPr>
          <a:solidFill>
            <a:schemeClr val="accent1"/>
          </a:solidFill>
          <a:ln w="19050">
            <a:solidFill>
              <a:schemeClr val="lt1"/>
            </a:solidFill>
          </a:ln>
          <a:effectLst/>
        </c:spPr>
      </c:pivotFmt>
      <c:pivotFmt>
        <c:idx val="2085"/>
        <c:spPr>
          <a:solidFill>
            <a:schemeClr val="accent1"/>
          </a:solidFill>
          <a:ln w="19050">
            <a:solidFill>
              <a:schemeClr val="lt1"/>
            </a:solidFill>
          </a:ln>
          <a:effectLst/>
        </c:spPr>
      </c:pivotFmt>
      <c:pivotFmt>
        <c:idx val="2086"/>
        <c:spPr>
          <a:solidFill>
            <a:schemeClr val="accent1"/>
          </a:solidFill>
          <a:ln w="19050">
            <a:solidFill>
              <a:schemeClr val="lt1"/>
            </a:solidFill>
          </a:ln>
          <a:effectLst/>
        </c:spPr>
      </c:pivotFmt>
      <c:pivotFmt>
        <c:idx val="2087"/>
        <c:spPr>
          <a:solidFill>
            <a:schemeClr val="accent1"/>
          </a:solidFill>
          <a:ln w="19050">
            <a:solidFill>
              <a:schemeClr val="lt1"/>
            </a:solidFill>
          </a:ln>
          <a:effectLst/>
        </c:spPr>
      </c:pivotFmt>
      <c:pivotFmt>
        <c:idx val="20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9"/>
        <c:spPr>
          <a:solidFill>
            <a:schemeClr val="accent1"/>
          </a:solidFill>
          <a:ln w="19050">
            <a:solidFill>
              <a:schemeClr val="lt1"/>
            </a:solidFill>
          </a:ln>
          <a:effectLst/>
        </c:spPr>
      </c:pivotFmt>
      <c:pivotFmt>
        <c:idx val="2090"/>
        <c:spPr>
          <a:solidFill>
            <a:schemeClr val="accent1"/>
          </a:solidFill>
          <a:ln w="19050">
            <a:solidFill>
              <a:schemeClr val="lt1"/>
            </a:solidFill>
          </a:ln>
          <a:effectLst/>
        </c:spPr>
      </c:pivotFmt>
      <c:pivotFmt>
        <c:idx val="2091"/>
        <c:spPr>
          <a:solidFill>
            <a:schemeClr val="accent1"/>
          </a:solidFill>
          <a:ln w="19050">
            <a:solidFill>
              <a:schemeClr val="lt1"/>
            </a:solidFill>
          </a:ln>
          <a:effectLst/>
        </c:spPr>
      </c:pivotFmt>
      <c:pivotFmt>
        <c:idx val="2092"/>
        <c:spPr>
          <a:solidFill>
            <a:schemeClr val="accent1"/>
          </a:solidFill>
          <a:ln w="19050">
            <a:solidFill>
              <a:schemeClr val="lt1"/>
            </a:solidFill>
          </a:ln>
          <a:effectLst/>
        </c:spPr>
      </c:pivotFmt>
      <c:pivotFmt>
        <c:idx val="2093"/>
        <c:spPr>
          <a:solidFill>
            <a:schemeClr val="accent1"/>
          </a:solidFill>
          <a:ln w="19050">
            <a:solidFill>
              <a:schemeClr val="lt1"/>
            </a:solidFill>
          </a:ln>
          <a:effectLst/>
        </c:spPr>
      </c:pivotFmt>
      <c:pivotFmt>
        <c:idx val="2094"/>
        <c:spPr>
          <a:solidFill>
            <a:schemeClr val="accent1"/>
          </a:solidFill>
          <a:ln w="19050">
            <a:solidFill>
              <a:schemeClr val="lt1"/>
            </a:solidFill>
          </a:ln>
          <a:effectLst/>
        </c:spPr>
      </c:pivotFmt>
      <c:pivotFmt>
        <c:idx val="2095"/>
        <c:spPr>
          <a:solidFill>
            <a:schemeClr val="accent1"/>
          </a:solidFill>
          <a:ln w="19050">
            <a:solidFill>
              <a:schemeClr val="lt1"/>
            </a:solidFill>
          </a:ln>
          <a:effectLst/>
        </c:spPr>
      </c:pivotFmt>
      <c:pivotFmt>
        <c:idx val="2096"/>
        <c:spPr>
          <a:solidFill>
            <a:schemeClr val="accent1"/>
          </a:solidFill>
          <a:ln w="19050">
            <a:solidFill>
              <a:schemeClr val="lt1"/>
            </a:solidFill>
          </a:ln>
          <a:effectLst/>
        </c:spPr>
      </c:pivotFmt>
      <c:pivotFmt>
        <c:idx val="2097"/>
        <c:spPr>
          <a:solidFill>
            <a:schemeClr val="accent1"/>
          </a:solidFill>
          <a:ln w="19050">
            <a:solidFill>
              <a:schemeClr val="lt1"/>
            </a:solidFill>
          </a:ln>
          <a:effectLst/>
        </c:spPr>
      </c:pivotFmt>
      <c:pivotFmt>
        <c:idx val="2098"/>
        <c:spPr>
          <a:solidFill>
            <a:schemeClr val="accent1"/>
          </a:solidFill>
          <a:ln w="19050">
            <a:solidFill>
              <a:schemeClr val="lt1"/>
            </a:solidFill>
          </a:ln>
          <a:effectLst/>
        </c:spPr>
      </c:pivotFmt>
      <c:pivotFmt>
        <c:idx val="2099"/>
        <c:spPr>
          <a:solidFill>
            <a:schemeClr val="accent1"/>
          </a:solidFill>
          <a:ln w="19050">
            <a:solidFill>
              <a:schemeClr val="lt1"/>
            </a:solidFill>
          </a:ln>
          <a:effectLst/>
        </c:spPr>
      </c:pivotFmt>
      <c:pivotFmt>
        <c:idx val="2100"/>
        <c:spPr>
          <a:solidFill>
            <a:schemeClr val="accent1"/>
          </a:solidFill>
          <a:ln w="19050">
            <a:solidFill>
              <a:schemeClr val="lt1"/>
            </a:solidFill>
          </a:ln>
          <a:effectLst/>
        </c:spPr>
      </c:pivotFmt>
      <c:pivotFmt>
        <c:idx val="2101"/>
        <c:spPr>
          <a:solidFill>
            <a:schemeClr val="accent1"/>
          </a:solidFill>
          <a:ln w="19050">
            <a:solidFill>
              <a:schemeClr val="lt1"/>
            </a:solidFill>
          </a:ln>
          <a:effectLst/>
        </c:spPr>
      </c:pivotFmt>
      <c:pivotFmt>
        <c:idx val="2102"/>
        <c:spPr>
          <a:solidFill>
            <a:schemeClr val="accent1"/>
          </a:solidFill>
          <a:ln w="19050">
            <a:solidFill>
              <a:schemeClr val="lt1"/>
            </a:solidFill>
          </a:ln>
          <a:effectLst/>
        </c:spPr>
      </c:pivotFmt>
      <c:pivotFmt>
        <c:idx val="2103"/>
        <c:spPr>
          <a:solidFill>
            <a:schemeClr val="accent1"/>
          </a:solidFill>
          <a:ln w="19050">
            <a:solidFill>
              <a:schemeClr val="lt1"/>
            </a:solidFill>
          </a:ln>
          <a:effectLst/>
        </c:spPr>
      </c:pivotFmt>
      <c:pivotFmt>
        <c:idx val="2104"/>
        <c:spPr>
          <a:solidFill>
            <a:schemeClr val="accent1"/>
          </a:solidFill>
          <a:ln w="19050">
            <a:solidFill>
              <a:schemeClr val="lt1"/>
            </a:solidFill>
          </a:ln>
          <a:effectLst/>
        </c:spPr>
      </c:pivotFmt>
      <c:pivotFmt>
        <c:idx val="2105"/>
        <c:spPr>
          <a:solidFill>
            <a:schemeClr val="accent1"/>
          </a:solidFill>
          <a:ln w="19050">
            <a:solidFill>
              <a:schemeClr val="lt1"/>
            </a:solidFill>
          </a:ln>
          <a:effectLst/>
        </c:spPr>
      </c:pivotFmt>
      <c:pivotFmt>
        <c:idx val="2106"/>
        <c:spPr>
          <a:solidFill>
            <a:schemeClr val="accent1"/>
          </a:solidFill>
          <a:ln w="19050">
            <a:solidFill>
              <a:schemeClr val="lt1"/>
            </a:solidFill>
          </a:ln>
          <a:effectLst/>
        </c:spPr>
      </c:pivotFmt>
      <c:pivotFmt>
        <c:idx val="2107"/>
        <c:spPr>
          <a:solidFill>
            <a:schemeClr val="accent1"/>
          </a:solidFill>
          <a:ln w="19050">
            <a:solidFill>
              <a:schemeClr val="lt1"/>
            </a:solidFill>
          </a:ln>
          <a:effectLst/>
        </c:spPr>
      </c:pivotFmt>
      <c:pivotFmt>
        <c:idx val="2108"/>
        <c:spPr>
          <a:solidFill>
            <a:schemeClr val="accent1"/>
          </a:solidFill>
          <a:ln w="19050">
            <a:solidFill>
              <a:schemeClr val="lt1"/>
            </a:solidFill>
          </a:ln>
          <a:effectLst/>
        </c:spPr>
      </c:pivotFmt>
      <c:pivotFmt>
        <c:idx val="2109"/>
        <c:spPr>
          <a:solidFill>
            <a:schemeClr val="accent1"/>
          </a:solidFill>
          <a:ln w="19050">
            <a:solidFill>
              <a:schemeClr val="lt1"/>
            </a:solidFill>
          </a:ln>
          <a:effectLst/>
        </c:spPr>
      </c:pivotFmt>
      <c:pivotFmt>
        <c:idx val="2110"/>
        <c:spPr>
          <a:solidFill>
            <a:schemeClr val="accent1"/>
          </a:solidFill>
          <a:ln w="19050">
            <a:solidFill>
              <a:schemeClr val="lt1"/>
            </a:solidFill>
          </a:ln>
          <a:effectLst/>
        </c:spPr>
      </c:pivotFmt>
      <c:pivotFmt>
        <c:idx val="2111"/>
        <c:spPr>
          <a:solidFill>
            <a:schemeClr val="accent1"/>
          </a:solidFill>
          <a:ln w="19050">
            <a:solidFill>
              <a:schemeClr val="lt1"/>
            </a:solidFill>
          </a:ln>
          <a:effectLst/>
        </c:spPr>
      </c:pivotFmt>
      <c:pivotFmt>
        <c:idx val="2112"/>
        <c:spPr>
          <a:solidFill>
            <a:schemeClr val="accent1"/>
          </a:solidFill>
          <a:ln w="19050">
            <a:solidFill>
              <a:schemeClr val="lt1"/>
            </a:solidFill>
          </a:ln>
          <a:effectLst/>
        </c:spPr>
      </c:pivotFmt>
      <c:pivotFmt>
        <c:idx val="2113"/>
        <c:spPr>
          <a:solidFill>
            <a:schemeClr val="accent1"/>
          </a:solidFill>
          <a:ln w="19050">
            <a:solidFill>
              <a:schemeClr val="lt1"/>
            </a:solidFill>
          </a:ln>
          <a:effectLst/>
        </c:spPr>
      </c:pivotFmt>
      <c:pivotFmt>
        <c:idx val="2114"/>
        <c:spPr>
          <a:solidFill>
            <a:schemeClr val="accent1"/>
          </a:solidFill>
          <a:ln w="19050">
            <a:solidFill>
              <a:schemeClr val="lt1"/>
            </a:solidFill>
          </a:ln>
          <a:effectLst/>
        </c:spPr>
      </c:pivotFmt>
      <c:pivotFmt>
        <c:idx val="21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6"/>
        <c:spPr>
          <a:solidFill>
            <a:schemeClr val="accent1"/>
          </a:solidFill>
          <a:ln w="19050">
            <a:solidFill>
              <a:schemeClr val="lt1"/>
            </a:solidFill>
          </a:ln>
          <a:effectLst/>
        </c:spPr>
      </c:pivotFmt>
      <c:pivotFmt>
        <c:idx val="2117"/>
        <c:spPr>
          <a:solidFill>
            <a:schemeClr val="accent1"/>
          </a:solidFill>
          <a:ln w="19050">
            <a:solidFill>
              <a:schemeClr val="lt1"/>
            </a:solidFill>
          </a:ln>
          <a:effectLst/>
        </c:spPr>
      </c:pivotFmt>
      <c:pivotFmt>
        <c:idx val="2118"/>
        <c:spPr>
          <a:solidFill>
            <a:schemeClr val="accent1"/>
          </a:solidFill>
          <a:ln w="19050">
            <a:solidFill>
              <a:schemeClr val="lt1"/>
            </a:solidFill>
          </a:ln>
          <a:effectLst/>
        </c:spPr>
      </c:pivotFmt>
      <c:pivotFmt>
        <c:idx val="2119"/>
        <c:spPr>
          <a:solidFill>
            <a:schemeClr val="accent1"/>
          </a:solidFill>
          <a:ln w="19050">
            <a:solidFill>
              <a:schemeClr val="lt1"/>
            </a:solidFill>
          </a:ln>
          <a:effectLst/>
        </c:spPr>
      </c:pivotFmt>
      <c:pivotFmt>
        <c:idx val="2120"/>
        <c:spPr>
          <a:solidFill>
            <a:schemeClr val="accent1"/>
          </a:solidFill>
          <a:ln w="19050">
            <a:solidFill>
              <a:schemeClr val="lt1"/>
            </a:solidFill>
          </a:ln>
          <a:effectLst/>
        </c:spPr>
      </c:pivotFmt>
      <c:pivotFmt>
        <c:idx val="2121"/>
        <c:spPr>
          <a:solidFill>
            <a:schemeClr val="accent1"/>
          </a:solidFill>
          <a:ln w="19050">
            <a:solidFill>
              <a:schemeClr val="lt1"/>
            </a:solidFill>
          </a:ln>
          <a:effectLst/>
        </c:spPr>
      </c:pivotFmt>
      <c:pivotFmt>
        <c:idx val="2122"/>
        <c:spPr>
          <a:solidFill>
            <a:schemeClr val="accent1"/>
          </a:solidFill>
          <a:ln w="19050">
            <a:solidFill>
              <a:schemeClr val="lt1"/>
            </a:solidFill>
          </a:ln>
          <a:effectLst/>
        </c:spPr>
      </c:pivotFmt>
      <c:pivotFmt>
        <c:idx val="2123"/>
        <c:spPr>
          <a:solidFill>
            <a:schemeClr val="accent1"/>
          </a:solidFill>
          <a:ln w="19050">
            <a:solidFill>
              <a:schemeClr val="lt1"/>
            </a:solidFill>
          </a:ln>
          <a:effectLst/>
        </c:spPr>
      </c:pivotFmt>
      <c:pivotFmt>
        <c:idx val="2124"/>
        <c:spPr>
          <a:solidFill>
            <a:schemeClr val="accent1"/>
          </a:solidFill>
          <a:ln w="19050">
            <a:solidFill>
              <a:schemeClr val="lt1"/>
            </a:solidFill>
          </a:ln>
          <a:effectLst/>
        </c:spPr>
      </c:pivotFmt>
      <c:pivotFmt>
        <c:idx val="2125"/>
        <c:spPr>
          <a:solidFill>
            <a:schemeClr val="accent1"/>
          </a:solidFill>
          <a:ln w="19050">
            <a:solidFill>
              <a:schemeClr val="lt1"/>
            </a:solidFill>
          </a:ln>
          <a:effectLst/>
        </c:spPr>
      </c:pivotFmt>
      <c:pivotFmt>
        <c:idx val="2126"/>
        <c:spPr>
          <a:solidFill>
            <a:schemeClr val="accent1"/>
          </a:solidFill>
          <a:ln w="19050">
            <a:solidFill>
              <a:schemeClr val="lt1"/>
            </a:solidFill>
          </a:ln>
          <a:effectLst/>
        </c:spPr>
      </c:pivotFmt>
      <c:pivotFmt>
        <c:idx val="2127"/>
        <c:spPr>
          <a:solidFill>
            <a:schemeClr val="accent1"/>
          </a:solidFill>
          <a:ln w="19050">
            <a:solidFill>
              <a:schemeClr val="lt1"/>
            </a:solidFill>
          </a:ln>
          <a:effectLst/>
        </c:spPr>
      </c:pivotFmt>
      <c:pivotFmt>
        <c:idx val="2128"/>
        <c:spPr>
          <a:solidFill>
            <a:schemeClr val="accent1"/>
          </a:solidFill>
          <a:ln w="19050">
            <a:solidFill>
              <a:schemeClr val="lt1"/>
            </a:solidFill>
          </a:ln>
          <a:effectLst/>
        </c:spPr>
      </c:pivotFmt>
      <c:pivotFmt>
        <c:idx val="2129"/>
        <c:spPr>
          <a:solidFill>
            <a:schemeClr val="accent1"/>
          </a:solidFill>
          <a:ln w="19050">
            <a:solidFill>
              <a:schemeClr val="lt1"/>
            </a:solidFill>
          </a:ln>
          <a:effectLst/>
        </c:spPr>
      </c:pivotFmt>
      <c:pivotFmt>
        <c:idx val="2130"/>
        <c:spPr>
          <a:solidFill>
            <a:schemeClr val="accent1"/>
          </a:solidFill>
          <a:ln w="19050">
            <a:solidFill>
              <a:schemeClr val="lt1"/>
            </a:solidFill>
          </a:ln>
          <a:effectLst/>
        </c:spPr>
      </c:pivotFmt>
      <c:pivotFmt>
        <c:idx val="2131"/>
        <c:spPr>
          <a:solidFill>
            <a:schemeClr val="accent1"/>
          </a:solidFill>
          <a:ln w="19050">
            <a:solidFill>
              <a:schemeClr val="lt1"/>
            </a:solidFill>
          </a:ln>
          <a:effectLst/>
        </c:spPr>
      </c:pivotFmt>
      <c:pivotFmt>
        <c:idx val="2132"/>
        <c:spPr>
          <a:solidFill>
            <a:schemeClr val="accent1"/>
          </a:solidFill>
          <a:ln w="19050">
            <a:solidFill>
              <a:schemeClr val="lt1"/>
            </a:solidFill>
          </a:ln>
          <a:effectLst/>
        </c:spPr>
      </c:pivotFmt>
      <c:pivotFmt>
        <c:idx val="2133"/>
        <c:spPr>
          <a:solidFill>
            <a:schemeClr val="accent1"/>
          </a:solidFill>
          <a:ln w="19050">
            <a:solidFill>
              <a:schemeClr val="lt1"/>
            </a:solidFill>
          </a:ln>
          <a:effectLst/>
        </c:spPr>
      </c:pivotFmt>
      <c:pivotFmt>
        <c:idx val="2134"/>
        <c:spPr>
          <a:solidFill>
            <a:schemeClr val="accent1"/>
          </a:solidFill>
          <a:ln w="19050">
            <a:solidFill>
              <a:schemeClr val="lt1"/>
            </a:solidFill>
          </a:ln>
          <a:effectLst/>
        </c:spPr>
      </c:pivotFmt>
      <c:pivotFmt>
        <c:idx val="2135"/>
        <c:spPr>
          <a:solidFill>
            <a:schemeClr val="accent1"/>
          </a:solidFill>
          <a:ln w="19050">
            <a:solidFill>
              <a:schemeClr val="lt1"/>
            </a:solidFill>
          </a:ln>
          <a:effectLst/>
        </c:spPr>
      </c:pivotFmt>
      <c:pivotFmt>
        <c:idx val="2136"/>
        <c:spPr>
          <a:solidFill>
            <a:schemeClr val="accent1"/>
          </a:solidFill>
          <a:ln w="19050">
            <a:solidFill>
              <a:schemeClr val="lt1"/>
            </a:solidFill>
          </a:ln>
          <a:effectLst/>
        </c:spPr>
      </c:pivotFmt>
      <c:pivotFmt>
        <c:idx val="2137"/>
        <c:spPr>
          <a:solidFill>
            <a:schemeClr val="accent1"/>
          </a:solidFill>
          <a:ln w="19050">
            <a:solidFill>
              <a:schemeClr val="lt1"/>
            </a:solidFill>
          </a:ln>
          <a:effectLst/>
        </c:spPr>
      </c:pivotFmt>
      <c:pivotFmt>
        <c:idx val="2138"/>
        <c:spPr>
          <a:solidFill>
            <a:schemeClr val="accent1"/>
          </a:solidFill>
          <a:ln w="19050">
            <a:solidFill>
              <a:schemeClr val="lt1"/>
            </a:solidFill>
          </a:ln>
          <a:effectLst/>
        </c:spPr>
      </c:pivotFmt>
      <c:pivotFmt>
        <c:idx val="2139"/>
        <c:spPr>
          <a:solidFill>
            <a:schemeClr val="accent1"/>
          </a:solidFill>
          <a:ln w="19050">
            <a:solidFill>
              <a:schemeClr val="lt1"/>
            </a:solidFill>
          </a:ln>
          <a:effectLst/>
        </c:spPr>
      </c:pivotFmt>
      <c:pivotFmt>
        <c:idx val="2140"/>
        <c:spPr>
          <a:solidFill>
            <a:schemeClr val="accent1"/>
          </a:solidFill>
          <a:ln w="19050">
            <a:solidFill>
              <a:schemeClr val="lt1"/>
            </a:solidFill>
          </a:ln>
          <a:effectLst/>
        </c:spPr>
      </c:pivotFmt>
      <c:pivotFmt>
        <c:idx val="2141"/>
        <c:spPr>
          <a:solidFill>
            <a:schemeClr val="accent1"/>
          </a:solidFill>
          <a:ln w="19050">
            <a:solidFill>
              <a:schemeClr val="lt1"/>
            </a:solidFill>
          </a:ln>
          <a:effectLst/>
        </c:spPr>
      </c:pivotFmt>
      <c:pivotFmt>
        <c:idx val="21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3"/>
        <c:spPr>
          <a:solidFill>
            <a:schemeClr val="accent1"/>
          </a:solidFill>
          <a:ln w="19050">
            <a:solidFill>
              <a:schemeClr val="lt1"/>
            </a:solidFill>
          </a:ln>
          <a:effectLst/>
        </c:spPr>
      </c:pivotFmt>
      <c:pivotFmt>
        <c:idx val="2144"/>
        <c:spPr>
          <a:solidFill>
            <a:schemeClr val="accent1"/>
          </a:solidFill>
          <a:ln w="19050">
            <a:solidFill>
              <a:schemeClr val="lt1"/>
            </a:solidFill>
          </a:ln>
          <a:effectLst/>
        </c:spPr>
      </c:pivotFmt>
      <c:pivotFmt>
        <c:idx val="2145"/>
        <c:spPr>
          <a:solidFill>
            <a:schemeClr val="accent1"/>
          </a:solidFill>
          <a:ln w="19050">
            <a:solidFill>
              <a:schemeClr val="lt1"/>
            </a:solidFill>
          </a:ln>
          <a:effectLst/>
        </c:spPr>
      </c:pivotFmt>
      <c:pivotFmt>
        <c:idx val="2146"/>
        <c:spPr>
          <a:solidFill>
            <a:schemeClr val="accent1"/>
          </a:solidFill>
          <a:ln w="19050">
            <a:solidFill>
              <a:schemeClr val="lt1"/>
            </a:solidFill>
          </a:ln>
          <a:effectLst/>
        </c:spPr>
      </c:pivotFmt>
      <c:pivotFmt>
        <c:idx val="2147"/>
        <c:spPr>
          <a:solidFill>
            <a:schemeClr val="accent1"/>
          </a:solidFill>
          <a:ln w="19050">
            <a:solidFill>
              <a:schemeClr val="lt1"/>
            </a:solidFill>
          </a:ln>
          <a:effectLst/>
        </c:spPr>
      </c:pivotFmt>
      <c:pivotFmt>
        <c:idx val="2148"/>
        <c:spPr>
          <a:solidFill>
            <a:schemeClr val="accent1"/>
          </a:solidFill>
          <a:ln w="19050">
            <a:solidFill>
              <a:schemeClr val="lt1"/>
            </a:solidFill>
          </a:ln>
          <a:effectLst/>
        </c:spPr>
      </c:pivotFmt>
      <c:pivotFmt>
        <c:idx val="2149"/>
        <c:spPr>
          <a:solidFill>
            <a:schemeClr val="accent1"/>
          </a:solidFill>
          <a:ln w="19050">
            <a:solidFill>
              <a:schemeClr val="lt1"/>
            </a:solidFill>
          </a:ln>
          <a:effectLst/>
        </c:spPr>
      </c:pivotFmt>
      <c:pivotFmt>
        <c:idx val="2150"/>
        <c:spPr>
          <a:solidFill>
            <a:schemeClr val="accent1"/>
          </a:solidFill>
          <a:ln w="19050">
            <a:solidFill>
              <a:schemeClr val="lt1"/>
            </a:solidFill>
          </a:ln>
          <a:effectLst/>
        </c:spPr>
      </c:pivotFmt>
      <c:pivotFmt>
        <c:idx val="2151"/>
        <c:spPr>
          <a:solidFill>
            <a:schemeClr val="accent1"/>
          </a:solidFill>
          <a:ln w="19050">
            <a:solidFill>
              <a:schemeClr val="lt1"/>
            </a:solidFill>
          </a:ln>
          <a:effectLst/>
        </c:spPr>
      </c:pivotFmt>
      <c:pivotFmt>
        <c:idx val="2152"/>
        <c:spPr>
          <a:solidFill>
            <a:schemeClr val="accent1"/>
          </a:solidFill>
          <a:ln w="19050">
            <a:solidFill>
              <a:schemeClr val="lt1"/>
            </a:solidFill>
          </a:ln>
          <a:effectLst/>
        </c:spPr>
      </c:pivotFmt>
      <c:pivotFmt>
        <c:idx val="2153"/>
        <c:spPr>
          <a:solidFill>
            <a:schemeClr val="accent1"/>
          </a:solidFill>
          <a:ln w="19050">
            <a:solidFill>
              <a:schemeClr val="lt1"/>
            </a:solidFill>
          </a:ln>
          <a:effectLst/>
        </c:spPr>
      </c:pivotFmt>
      <c:pivotFmt>
        <c:idx val="2154"/>
        <c:spPr>
          <a:solidFill>
            <a:schemeClr val="accent1"/>
          </a:solidFill>
          <a:ln w="19050">
            <a:solidFill>
              <a:schemeClr val="lt1"/>
            </a:solidFill>
          </a:ln>
          <a:effectLst/>
        </c:spPr>
      </c:pivotFmt>
      <c:pivotFmt>
        <c:idx val="2155"/>
        <c:spPr>
          <a:solidFill>
            <a:schemeClr val="accent1"/>
          </a:solidFill>
          <a:ln w="19050">
            <a:solidFill>
              <a:schemeClr val="lt1"/>
            </a:solidFill>
          </a:ln>
          <a:effectLst/>
        </c:spPr>
      </c:pivotFmt>
      <c:pivotFmt>
        <c:idx val="2156"/>
        <c:spPr>
          <a:solidFill>
            <a:schemeClr val="accent1"/>
          </a:solidFill>
          <a:ln w="19050">
            <a:solidFill>
              <a:schemeClr val="lt1"/>
            </a:solidFill>
          </a:ln>
          <a:effectLst/>
        </c:spPr>
      </c:pivotFmt>
      <c:pivotFmt>
        <c:idx val="2157"/>
        <c:spPr>
          <a:solidFill>
            <a:schemeClr val="accent1"/>
          </a:solidFill>
          <a:ln w="19050">
            <a:solidFill>
              <a:schemeClr val="lt1"/>
            </a:solidFill>
          </a:ln>
          <a:effectLst/>
        </c:spPr>
      </c:pivotFmt>
      <c:pivotFmt>
        <c:idx val="2158"/>
        <c:spPr>
          <a:solidFill>
            <a:schemeClr val="accent1"/>
          </a:solidFill>
          <a:ln w="19050">
            <a:solidFill>
              <a:schemeClr val="lt1"/>
            </a:solidFill>
          </a:ln>
          <a:effectLst/>
        </c:spPr>
      </c:pivotFmt>
      <c:pivotFmt>
        <c:idx val="2159"/>
        <c:spPr>
          <a:solidFill>
            <a:schemeClr val="accent1"/>
          </a:solidFill>
          <a:ln w="19050">
            <a:solidFill>
              <a:schemeClr val="lt1"/>
            </a:solidFill>
          </a:ln>
          <a:effectLst/>
        </c:spPr>
      </c:pivotFmt>
      <c:pivotFmt>
        <c:idx val="2160"/>
        <c:spPr>
          <a:solidFill>
            <a:schemeClr val="accent1"/>
          </a:solidFill>
          <a:ln w="19050">
            <a:solidFill>
              <a:schemeClr val="lt1"/>
            </a:solidFill>
          </a:ln>
          <a:effectLst/>
        </c:spPr>
      </c:pivotFmt>
      <c:pivotFmt>
        <c:idx val="2161"/>
        <c:spPr>
          <a:solidFill>
            <a:schemeClr val="accent1"/>
          </a:solidFill>
          <a:ln w="19050">
            <a:solidFill>
              <a:schemeClr val="lt1"/>
            </a:solidFill>
          </a:ln>
          <a:effectLst/>
        </c:spPr>
      </c:pivotFmt>
      <c:pivotFmt>
        <c:idx val="2162"/>
        <c:spPr>
          <a:solidFill>
            <a:schemeClr val="accent1"/>
          </a:solidFill>
          <a:ln w="19050">
            <a:solidFill>
              <a:schemeClr val="lt1"/>
            </a:solidFill>
          </a:ln>
          <a:effectLst/>
        </c:spPr>
      </c:pivotFmt>
      <c:pivotFmt>
        <c:idx val="2163"/>
        <c:spPr>
          <a:solidFill>
            <a:schemeClr val="accent1"/>
          </a:solidFill>
          <a:ln w="19050">
            <a:solidFill>
              <a:schemeClr val="lt1"/>
            </a:solidFill>
          </a:ln>
          <a:effectLst/>
        </c:spPr>
      </c:pivotFmt>
      <c:pivotFmt>
        <c:idx val="2164"/>
        <c:spPr>
          <a:solidFill>
            <a:schemeClr val="accent1"/>
          </a:solidFill>
          <a:ln w="19050">
            <a:solidFill>
              <a:schemeClr val="lt1"/>
            </a:solidFill>
          </a:ln>
          <a:effectLst/>
        </c:spPr>
      </c:pivotFmt>
      <c:pivotFmt>
        <c:idx val="2165"/>
        <c:spPr>
          <a:solidFill>
            <a:schemeClr val="accent1"/>
          </a:solidFill>
          <a:ln w="19050">
            <a:solidFill>
              <a:schemeClr val="lt1"/>
            </a:solidFill>
          </a:ln>
          <a:effectLst/>
        </c:spPr>
      </c:pivotFmt>
      <c:pivotFmt>
        <c:idx val="2166"/>
        <c:spPr>
          <a:solidFill>
            <a:schemeClr val="accent1"/>
          </a:solidFill>
          <a:ln w="19050">
            <a:solidFill>
              <a:schemeClr val="lt1"/>
            </a:solidFill>
          </a:ln>
          <a:effectLst/>
        </c:spPr>
      </c:pivotFmt>
      <c:pivotFmt>
        <c:idx val="2167"/>
        <c:spPr>
          <a:solidFill>
            <a:schemeClr val="accent1"/>
          </a:solidFill>
          <a:ln w="19050">
            <a:solidFill>
              <a:schemeClr val="lt1"/>
            </a:solidFill>
          </a:ln>
          <a:effectLst/>
        </c:spPr>
      </c:pivotFmt>
      <c:pivotFmt>
        <c:idx val="2168"/>
        <c:spPr>
          <a:solidFill>
            <a:schemeClr val="accent1"/>
          </a:solidFill>
          <a:ln w="19050">
            <a:solidFill>
              <a:schemeClr val="lt1"/>
            </a:solidFill>
          </a:ln>
          <a:effectLst/>
        </c:spPr>
      </c:pivotFmt>
      <c:pivotFmt>
        <c:idx val="21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0"/>
        <c:spPr>
          <a:solidFill>
            <a:schemeClr val="accent1"/>
          </a:solidFill>
          <a:ln w="19050">
            <a:solidFill>
              <a:schemeClr val="lt1"/>
            </a:solidFill>
          </a:ln>
          <a:effectLst/>
        </c:spPr>
      </c:pivotFmt>
      <c:pivotFmt>
        <c:idx val="2171"/>
        <c:spPr>
          <a:solidFill>
            <a:schemeClr val="accent1"/>
          </a:solidFill>
          <a:ln w="19050">
            <a:solidFill>
              <a:schemeClr val="lt1"/>
            </a:solidFill>
          </a:ln>
          <a:effectLst/>
        </c:spPr>
      </c:pivotFmt>
      <c:pivotFmt>
        <c:idx val="2172"/>
        <c:spPr>
          <a:solidFill>
            <a:schemeClr val="accent1"/>
          </a:solidFill>
          <a:ln w="19050">
            <a:solidFill>
              <a:schemeClr val="lt1"/>
            </a:solidFill>
          </a:ln>
          <a:effectLst/>
        </c:spPr>
      </c:pivotFmt>
      <c:pivotFmt>
        <c:idx val="2173"/>
        <c:spPr>
          <a:solidFill>
            <a:schemeClr val="accent1"/>
          </a:solidFill>
          <a:ln w="19050">
            <a:solidFill>
              <a:schemeClr val="lt1"/>
            </a:solidFill>
          </a:ln>
          <a:effectLst/>
        </c:spPr>
      </c:pivotFmt>
      <c:pivotFmt>
        <c:idx val="2174"/>
        <c:spPr>
          <a:solidFill>
            <a:schemeClr val="accent1"/>
          </a:solidFill>
          <a:ln w="19050">
            <a:solidFill>
              <a:schemeClr val="lt1"/>
            </a:solidFill>
          </a:ln>
          <a:effectLst/>
        </c:spPr>
      </c:pivotFmt>
      <c:pivotFmt>
        <c:idx val="2175"/>
        <c:spPr>
          <a:solidFill>
            <a:schemeClr val="accent1"/>
          </a:solidFill>
          <a:ln w="19050">
            <a:solidFill>
              <a:schemeClr val="lt1"/>
            </a:solidFill>
          </a:ln>
          <a:effectLst/>
        </c:spPr>
      </c:pivotFmt>
      <c:pivotFmt>
        <c:idx val="2176"/>
        <c:spPr>
          <a:solidFill>
            <a:schemeClr val="accent1"/>
          </a:solidFill>
          <a:ln w="19050">
            <a:solidFill>
              <a:schemeClr val="lt1"/>
            </a:solidFill>
          </a:ln>
          <a:effectLst/>
        </c:spPr>
      </c:pivotFmt>
      <c:pivotFmt>
        <c:idx val="2177"/>
        <c:spPr>
          <a:solidFill>
            <a:schemeClr val="accent1"/>
          </a:solidFill>
          <a:ln w="19050">
            <a:solidFill>
              <a:schemeClr val="lt1"/>
            </a:solidFill>
          </a:ln>
          <a:effectLst/>
        </c:spPr>
      </c:pivotFmt>
      <c:pivotFmt>
        <c:idx val="2178"/>
        <c:spPr>
          <a:solidFill>
            <a:schemeClr val="accent1"/>
          </a:solidFill>
          <a:ln w="19050">
            <a:solidFill>
              <a:schemeClr val="lt1"/>
            </a:solidFill>
          </a:ln>
          <a:effectLst/>
        </c:spPr>
      </c:pivotFmt>
      <c:pivotFmt>
        <c:idx val="2179"/>
        <c:spPr>
          <a:solidFill>
            <a:schemeClr val="accent1"/>
          </a:solidFill>
          <a:ln w="19050">
            <a:solidFill>
              <a:schemeClr val="lt1"/>
            </a:solidFill>
          </a:ln>
          <a:effectLst/>
        </c:spPr>
      </c:pivotFmt>
      <c:pivotFmt>
        <c:idx val="2180"/>
        <c:spPr>
          <a:solidFill>
            <a:schemeClr val="accent1"/>
          </a:solidFill>
          <a:ln w="19050">
            <a:solidFill>
              <a:schemeClr val="lt1"/>
            </a:solidFill>
          </a:ln>
          <a:effectLst/>
        </c:spPr>
      </c:pivotFmt>
      <c:pivotFmt>
        <c:idx val="2181"/>
        <c:spPr>
          <a:solidFill>
            <a:schemeClr val="accent1"/>
          </a:solidFill>
          <a:ln w="19050">
            <a:solidFill>
              <a:schemeClr val="lt1"/>
            </a:solidFill>
          </a:ln>
          <a:effectLst/>
        </c:spPr>
      </c:pivotFmt>
      <c:pivotFmt>
        <c:idx val="2182"/>
        <c:spPr>
          <a:solidFill>
            <a:schemeClr val="accent1"/>
          </a:solidFill>
          <a:ln w="19050">
            <a:solidFill>
              <a:schemeClr val="lt1"/>
            </a:solidFill>
          </a:ln>
          <a:effectLst/>
        </c:spPr>
      </c:pivotFmt>
      <c:pivotFmt>
        <c:idx val="2183"/>
        <c:spPr>
          <a:solidFill>
            <a:schemeClr val="accent1"/>
          </a:solidFill>
          <a:ln w="19050">
            <a:solidFill>
              <a:schemeClr val="lt1"/>
            </a:solidFill>
          </a:ln>
          <a:effectLst/>
        </c:spPr>
      </c:pivotFmt>
      <c:pivotFmt>
        <c:idx val="2184"/>
        <c:spPr>
          <a:solidFill>
            <a:schemeClr val="accent1"/>
          </a:solidFill>
          <a:ln w="19050">
            <a:solidFill>
              <a:schemeClr val="lt1"/>
            </a:solidFill>
          </a:ln>
          <a:effectLst/>
        </c:spPr>
      </c:pivotFmt>
      <c:pivotFmt>
        <c:idx val="2185"/>
        <c:spPr>
          <a:solidFill>
            <a:schemeClr val="accent1"/>
          </a:solidFill>
          <a:ln w="19050">
            <a:solidFill>
              <a:schemeClr val="lt1"/>
            </a:solidFill>
          </a:ln>
          <a:effectLst/>
        </c:spPr>
      </c:pivotFmt>
      <c:pivotFmt>
        <c:idx val="2186"/>
        <c:spPr>
          <a:solidFill>
            <a:schemeClr val="accent1"/>
          </a:solidFill>
          <a:ln w="19050">
            <a:solidFill>
              <a:schemeClr val="lt1"/>
            </a:solidFill>
          </a:ln>
          <a:effectLst/>
        </c:spPr>
      </c:pivotFmt>
      <c:pivotFmt>
        <c:idx val="2187"/>
        <c:spPr>
          <a:solidFill>
            <a:schemeClr val="accent1"/>
          </a:solidFill>
          <a:ln w="19050">
            <a:solidFill>
              <a:schemeClr val="lt1"/>
            </a:solidFill>
          </a:ln>
          <a:effectLst/>
        </c:spPr>
      </c:pivotFmt>
      <c:pivotFmt>
        <c:idx val="2188"/>
        <c:spPr>
          <a:solidFill>
            <a:schemeClr val="accent1"/>
          </a:solidFill>
          <a:ln w="19050">
            <a:solidFill>
              <a:schemeClr val="lt1"/>
            </a:solidFill>
          </a:ln>
          <a:effectLst/>
        </c:spPr>
      </c:pivotFmt>
      <c:pivotFmt>
        <c:idx val="2189"/>
        <c:spPr>
          <a:solidFill>
            <a:schemeClr val="accent1"/>
          </a:solidFill>
          <a:ln w="19050">
            <a:solidFill>
              <a:schemeClr val="lt1"/>
            </a:solidFill>
          </a:ln>
          <a:effectLst/>
        </c:spPr>
      </c:pivotFmt>
      <c:pivotFmt>
        <c:idx val="2190"/>
        <c:spPr>
          <a:solidFill>
            <a:schemeClr val="accent1"/>
          </a:solidFill>
          <a:ln w="19050">
            <a:solidFill>
              <a:schemeClr val="lt1"/>
            </a:solidFill>
          </a:ln>
          <a:effectLst/>
        </c:spPr>
      </c:pivotFmt>
      <c:pivotFmt>
        <c:idx val="2191"/>
        <c:spPr>
          <a:solidFill>
            <a:schemeClr val="accent1"/>
          </a:solidFill>
          <a:ln w="19050">
            <a:solidFill>
              <a:schemeClr val="lt1"/>
            </a:solidFill>
          </a:ln>
          <a:effectLst/>
        </c:spPr>
      </c:pivotFmt>
      <c:pivotFmt>
        <c:idx val="2192"/>
        <c:spPr>
          <a:solidFill>
            <a:schemeClr val="accent1"/>
          </a:solidFill>
          <a:ln w="19050">
            <a:solidFill>
              <a:schemeClr val="lt1"/>
            </a:solidFill>
          </a:ln>
          <a:effectLst/>
        </c:spPr>
      </c:pivotFmt>
      <c:pivotFmt>
        <c:idx val="2193"/>
        <c:spPr>
          <a:solidFill>
            <a:schemeClr val="accent1"/>
          </a:solidFill>
          <a:ln w="19050">
            <a:solidFill>
              <a:schemeClr val="lt1"/>
            </a:solidFill>
          </a:ln>
          <a:effectLst/>
        </c:spPr>
      </c:pivotFmt>
      <c:pivotFmt>
        <c:idx val="2194"/>
        <c:spPr>
          <a:solidFill>
            <a:schemeClr val="accent1"/>
          </a:solidFill>
          <a:ln w="19050">
            <a:solidFill>
              <a:schemeClr val="lt1"/>
            </a:solidFill>
          </a:ln>
          <a:effectLst/>
        </c:spPr>
      </c:pivotFmt>
      <c:pivotFmt>
        <c:idx val="2195"/>
        <c:spPr>
          <a:solidFill>
            <a:schemeClr val="accent1"/>
          </a:solidFill>
          <a:ln w="19050">
            <a:solidFill>
              <a:schemeClr val="lt1"/>
            </a:solidFill>
          </a:ln>
          <a:effectLst/>
        </c:spPr>
      </c:pivotFmt>
      <c:pivotFmt>
        <c:idx val="21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7"/>
        <c:spPr>
          <a:solidFill>
            <a:schemeClr val="accent1"/>
          </a:solidFill>
          <a:ln w="19050">
            <a:solidFill>
              <a:schemeClr val="lt1"/>
            </a:solidFill>
          </a:ln>
          <a:effectLst/>
        </c:spPr>
      </c:pivotFmt>
      <c:pivotFmt>
        <c:idx val="2198"/>
        <c:spPr>
          <a:solidFill>
            <a:schemeClr val="accent1"/>
          </a:solidFill>
          <a:ln w="19050">
            <a:solidFill>
              <a:schemeClr val="lt1"/>
            </a:solidFill>
          </a:ln>
          <a:effectLst/>
        </c:spPr>
      </c:pivotFmt>
      <c:pivotFmt>
        <c:idx val="2199"/>
        <c:spPr>
          <a:solidFill>
            <a:schemeClr val="accent1"/>
          </a:solidFill>
          <a:ln w="19050">
            <a:solidFill>
              <a:schemeClr val="lt1"/>
            </a:solidFill>
          </a:ln>
          <a:effectLst/>
        </c:spPr>
      </c:pivotFmt>
      <c:pivotFmt>
        <c:idx val="2200"/>
        <c:spPr>
          <a:solidFill>
            <a:schemeClr val="accent1"/>
          </a:solidFill>
          <a:ln w="19050">
            <a:solidFill>
              <a:schemeClr val="lt1"/>
            </a:solidFill>
          </a:ln>
          <a:effectLst/>
        </c:spPr>
      </c:pivotFmt>
      <c:pivotFmt>
        <c:idx val="2201"/>
        <c:spPr>
          <a:solidFill>
            <a:schemeClr val="accent1"/>
          </a:solidFill>
          <a:ln w="19050">
            <a:solidFill>
              <a:schemeClr val="lt1"/>
            </a:solidFill>
          </a:ln>
          <a:effectLst/>
        </c:spPr>
      </c:pivotFmt>
      <c:pivotFmt>
        <c:idx val="2202"/>
        <c:spPr>
          <a:solidFill>
            <a:schemeClr val="accent1"/>
          </a:solidFill>
          <a:ln w="19050">
            <a:solidFill>
              <a:schemeClr val="lt1"/>
            </a:solidFill>
          </a:ln>
          <a:effectLst/>
        </c:spPr>
      </c:pivotFmt>
      <c:pivotFmt>
        <c:idx val="2203"/>
        <c:spPr>
          <a:solidFill>
            <a:schemeClr val="accent1"/>
          </a:solidFill>
          <a:ln w="19050">
            <a:solidFill>
              <a:schemeClr val="lt1"/>
            </a:solidFill>
          </a:ln>
          <a:effectLst/>
        </c:spPr>
      </c:pivotFmt>
      <c:pivotFmt>
        <c:idx val="2204"/>
        <c:spPr>
          <a:solidFill>
            <a:schemeClr val="accent1"/>
          </a:solidFill>
          <a:ln w="19050">
            <a:solidFill>
              <a:schemeClr val="lt1"/>
            </a:solidFill>
          </a:ln>
          <a:effectLst/>
        </c:spPr>
      </c:pivotFmt>
      <c:pivotFmt>
        <c:idx val="2205"/>
        <c:spPr>
          <a:solidFill>
            <a:schemeClr val="accent1"/>
          </a:solidFill>
          <a:ln w="19050">
            <a:solidFill>
              <a:schemeClr val="lt1"/>
            </a:solidFill>
          </a:ln>
          <a:effectLst/>
        </c:spPr>
      </c:pivotFmt>
      <c:pivotFmt>
        <c:idx val="2206"/>
        <c:spPr>
          <a:solidFill>
            <a:schemeClr val="accent1"/>
          </a:solidFill>
          <a:ln w="19050">
            <a:solidFill>
              <a:schemeClr val="lt1"/>
            </a:solidFill>
          </a:ln>
          <a:effectLst/>
        </c:spPr>
      </c:pivotFmt>
      <c:pivotFmt>
        <c:idx val="2207"/>
        <c:spPr>
          <a:solidFill>
            <a:schemeClr val="accent1"/>
          </a:solidFill>
          <a:ln w="19050">
            <a:solidFill>
              <a:schemeClr val="lt1"/>
            </a:solidFill>
          </a:ln>
          <a:effectLst/>
        </c:spPr>
      </c:pivotFmt>
      <c:pivotFmt>
        <c:idx val="2208"/>
        <c:spPr>
          <a:solidFill>
            <a:schemeClr val="accent1"/>
          </a:solidFill>
          <a:ln w="19050">
            <a:solidFill>
              <a:schemeClr val="lt1"/>
            </a:solidFill>
          </a:ln>
          <a:effectLst/>
        </c:spPr>
      </c:pivotFmt>
      <c:pivotFmt>
        <c:idx val="2209"/>
        <c:spPr>
          <a:solidFill>
            <a:schemeClr val="accent1"/>
          </a:solidFill>
          <a:ln w="19050">
            <a:solidFill>
              <a:schemeClr val="lt1"/>
            </a:solidFill>
          </a:ln>
          <a:effectLst/>
        </c:spPr>
      </c:pivotFmt>
      <c:pivotFmt>
        <c:idx val="2210"/>
        <c:spPr>
          <a:solidFill>
            <a:schemeClr val="accent1"/>
          </a:solidFill>
          <a:ln w="19050">
            <a:solidFill>
              <a:schemeClr val="lt1"/>
            </a:solidFill>
          </a:ln>
          <a:effectLst/>
        </c:spPr>
      </c:pivotFmt>
      <c:pivotFmt>
        <c:idx val="2211"/>
        <c:spPr>
          <a:solidFill>
            <a:schemeClr val="accent1"/>
          </a:solidFill>
          <a:ln w="19050">
            <a:solidFill>
              <a:schemeClr val="lt1"/>
            </a:solidFill>
          </a:ln>
          <a:effectLst/>
        </c:spPr>
      </c:pivotFmt>
      <c:pivotFmt>
        <c:idx val="2212"/>
        <c:spPr>
          <a:solidFill>
            <a:schemeClr val="accent1"/>
          </a:solidFill>
          <a:ln w="19050">
            <a:solidFill>
              <a:schemeClr val="lt1"/>
            </a:solidFill>
          </a:ln>
          <a:effectLst/>
        </c:spPr>
      </c:pivotFmt>
      <c:pivotFmt>
        <c:idx val="2213"/>
        <c:spPr>
          <a:solidFill>
            <a:schemeClr val="accent1"/>
          </a:solidFill>
          <a:ln w="19050">
            <a:solidFill>
              <a:schemeClr val="lt1"/>
            </a:solidFill>
          </a:ln>
          <a:effectLst/>
        </c:spPr>
      </c:pivotFmt>
      <c:pivotFmt>
        <c:idx val="2214"/>
        <c:spPr>
          <a:solidFill>
            <a:schemeClr val="accent1"/>
          </a:solidFill>
          <a:ln w="19050">
            <a:solidFill>
              <a:schemeClr val="lt1"/>
            </a:solidFill>
          </a:ln>
          <a:effectLst/>
        </c:spPr>
      </c:pivotFmt>
      <c:pivotFmt>
        <c:idx val="2215"/>
        <c:spPr>
          <a:solidFill>
            <a:schemeClr val="accent1"/>
          </a:solidFill>
          <a:ln w="19050">
            <a:solidFill>
              <a:schemeClr val="lt1"/>
            </a:solidFill>
          </a:ln>
          <a:effectLst/>
        </c:spPr>
      </c:pivotFmt>
      <c:pivotFmt>
        <c:idx val="2216"/>
        <c:spPr>
          <a:solidFill>
            <a:schemeClr val="accent1"/>
          </a:solidFill>
          <a:ln w="19050">
            <a:solidFill>
              <a:schemeClr val="lt1"/>
            </a:solidFill>
          </a:ln>
          <a:effectLst/>
        </c:spPr>
      </c:pivotFmt>
      <c:pivotFmt>
        <c:idx val="2217"/>
        <c:spPr>
          <a:solidFill>
            <a:schemeClr val="accent1"/>
          </a:solidFill>
          <a:ln w="19050">
            <a:solidFill>
              <a:schemeClr val="lt1"/>
            </a:solidFill>
          </a:ln>
          <a:effectLst/>
        </c:spPr>
      </c:pivotFmt>
      <c:pivotFmt>
        <c:idx val="2218"/>
        <c:spPr>
          <a:solidFill>
            <a:schemeClr val="accent1"/>
          </a:solidFill>
          <a:ln w="19050">
            <a:solidFill>
              <a:schemeClr val="lt1"/>
            </a:solidFill>
          </a:ln>
          <a:effectLst/>
        </c:spPr>
      </c:pivotFmt>
      <c:pivotFmt>
        <c:idx val="2219"/>
        <c:spPr>
          <a:solidFill>
            <a:schemeClr val="accent1"/>
          </a:solidFill>
          <a:ln w="19050">
            <a:solidFill>
              <a:schemeClr val="lt1"/>
            </a:solidFill>
          </a:ln>
          <a:effectLst/>
        </c:spPr>
      </c:pivotFmt>
      <c:pivotFmt>
        <c:idx val="2220"/>
        <c:spPr>
          <a:solidFill>
            <a:schemeClr val="accent1"/>
          </a:solidFill>
          <a:ln w="19050">
            <a:solidFill>
              <a:schemeClr val="lt1"/>
            </a:solidFill>
          </a:ln>
          <a:effectLst/>
        </c:spPr>
      </c:pivotFmt>
      <c:pivotFmt>
        <c:idx val="2221"/>
        <c:spPr>
          <a:solidFill>
            <a:schemeClr val="accent1"/>
          </a:solidFill>
          <a:ln w="19050">
            <a:solidFill>
              <a:schemeClr val="lt1"/>
            </a:solidFill>
          </a:ln>
          <a:effectLst/>
        </c:spPr>
      </c:pivotFmt>
      <c:pivotFmt>
        <c:idx val="2222"/>
        <c:spPr>
          <a:solidFill>
            <a:schemeClr val="accent1"/>
          </a:solidFill>
          <a:ln w="19050">
            <a:solidFill>
              <a:schemeClr val="lt1"/>
            </a:solidFill>
          </a:ln>
          <a:effectLst/>
        </c:spPr>
      </c:pivotFmt>
      <c:pivotFmt>
        <c:idx val="22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4"/>
        <c:spPr>
          <a:solidFill>
            <a:schemeClr val="accent1"/>
          </a:solidFill>
          <a:ln w="19050">
            <a:solidFill>
              <a:schemeClr val="lt1"/>
            </a:solidFill>
          </a:ln>
          <a:effectLst/>
        </c:spPr>
      </c:pivotFmt>
      <c:pivotFmt>
        <c:idx val="2225"/>
        <c:spPr>
          <a:solidFill>
            <a:schemeClr val="accent1"/>
          </a:solidFill>
          <a:ln w="19050">
            <a:solidFill>
              <a:schemeClr val="lt1"/>
            </a:solidFill>
          </a:ln>
          <a:effectLst/>
        </c:spPr>
      </c:pivotFmt>
      <c:pivotFmt>
        <c:idx val="2226"/>
        <c:spPr>
          <a:solidFill>
            <a:schemeClr val="accent1"/>
          </a:solidFill>
          <a:ln w="19050">
            <a:solidFill>
              <a:schemeClr val="lt1"/>
            </a:solidFill>
          </a:ln>
          <a:effectLst/>
        </c:spPr>
      </c:pivotFmt>
      <c:pivotFmt>
        <c:idx val="2227"/>
        <c:spPr>
          <a:solidFill>
            <a:schemeClr val="accent1"/>
          </a:solidFill>
          <a:ln w="19050">
            <a:solidFill>
              <a:schemeClr val="lt1"/>
            </a:solidFill>
          </a:ln>
          <a:effectLst/>
        </c:spPr>
      </c:pivotFmt>
      <c:pivotFmt>
        <c:idx val="2228"/>
        <c:spPr>
          <a:solidFill>
            <a:schemeClr val="accent1"/>
          </a:solidFill>
          <a:ln w="19050">
            <a:solidFill>
              <a:schemeClr val="lt1"/>
            </a:solidFill>
          </a:ln>
          <a:effectLst/>
        </c:spPr>
      </c:pivotFmt>
      <c:pivotFmt>
        <c:idx val="2229"/>
        <c:spPr>
          <a:solidFill>
            <a:schemeClr val="accent1"/>
          </a:solidFill>
          <a:ln w="19050">
            <a:solidFill>
              <a:schemeClr val="lt1"/>
            </a:solidFill>
          </a:ln>
          <a:effectLst/>
        </c:spPr>
      </c:pivotFmt>
      <c:pivotFmt>
        <c:idx val="2230"/>
        <c:spPr>
          <a:solidFill>
            <a:schemeClr val="accent1"/>
          </a:solidFill>
          <a:ln w="19050">
            <a:solidFill>
              <a:schemeClr val="lt1"/>
            </a:solidFill>
          </a:ln>
          <a:effectLst/>
        </c:spPr>
      </c:pivotFmt>
      <c:pivotFmt>
        <c:idx val="2231"/>
        <c:spPr>
          <a:solidFill>
            <a:schemeClr val="accent1"/>
          </a:solidFill>
          <a:ln w="19050">
            <a:solidFill>
              <a:schemeClr val="lt1"/>
            </a:solidFill>
          </a:ln>
          <a:effectLst/>
        </c:spPr>
      </c:pivotFmt>
      <c:pivotFmt>
        <c:idx val="2232"/>
        <c:spPr>
          <a:solidFill>
            <a:schemeClr val="accent1"/>
          </a:solidFill>
          <a:ln w="19050">
            <a:solidFill>
              <a:schemeClr val="lt1"/>
            </a:solidFill>
          </a:ln>
          <a:effectLst/>
        </c:spPr>
      </c:pivotFmt>
      <c:pivotFmt>
        <c:idx val="2233"/>
        <c:spPr>
          <a:solidFill>
            <a:schemeClr val="accent1"/>
          </a:solidFill>
          <a:ln w="19050">
            <a:solidFill>
              <a:schemeClr val="lt1"/>
            </a:solidFill>
          </a:ln>
          <a:effectLst/>
        </c:spPr>
      </c:pivotFmt>
      <c:pivotFmt>
        <c:idx val="2234"/>
        <c:spPr>
          <a:solidFill>
            <a:schemeClr val="accent1"/>
          </a:solidFill>
          <a:ln w="19050">
            <a:solidFill>
              <a:schemeClr val="lt1"/>
            </a:solidFill>
          </a:ln>
          <a:effectLst/>
        </c:spPr>
      </c:pivotFmt>
      <c:pivotFmt>
        <c:idx val="2235"/>
        <c:spPr>
          <a:solidFill>
            <a:schemeClr val="accent1"/>
          </a:solidFill>
          <a:ln w="19050">
            <a:solidFill>
              <a:schemeClr val="lt1"/>
            </a:solidFill>
          </a:ln>
          <a:effectLst/>
        </c:spPr>
      </c:pivotFmt>
      <c:pivotFmt>
        <c:idx val="2236"/>
        <c:spPr>
          <a:solidFill>
            <a:schemeClr val="accent1"/>
          </a:solidFill>
          <a:ln w="19050">
            <a:solidFill>
              <a:schemeClr val="lt1"/>
            </a:solidFill>
          </a:ln>
          <a:effectLst/>
        </c:spPr>
      </c:pivotFmt>
      <c:pivotFmt>
        <c:idx val="2237"/>
        <c:spPr>
          <a:solidFill>
            <a:schemeClr val="accent1"/>
          </a:solidFill>
          <a:ln w="19050">
            <a:solidFill>
              <a:schemeClr val="lt1"/>
            </a:solidFill>
          </a:ln>
          <a:effectLst/>
        </c:spPr>
      </c:pivotFmt>
      <c:pivotFmt>
        <c:idx val="2238"/>
        <c:spPr>
          <a:solidFill>
            <a:schemeClr val="accent1"/>
          </a:solidFill>
          <a:ln w="19050">
            <a:solidFill>
              <a:schemeClr val="lt1"/>
            </a:solidFill>
          </a:ln>
          <a:effectLst/>
        </c:spPr>
      </c:pivotFmt>
      <c:pivotFmt>
        <c:idx val="2239"/>
        <c:spPr>
          <a:solidFill>
            <a:schemeClr val="accent1"/>
          </a:solidFill>
          <a:ln w="19050">
            <a:solidFill>
              <a:schemeClr val="lt1"/>
            </a:solidFill>
          </a:ln>
          <a:effectLst/>
        </c:spPr>
      </c:pivotFmt>
      <c:pivotFmt>
        <c:idx val="2240"/>
        <c:spPr>
          <a:solidFill>
            <a:schemeClr val="accent1"/>
          </a:solidFill>
          <a:ln w="19050">
            <a:solidFill>
              <a:schemeClr val="lt1"/>
            </a:solidFill>
          </a:ln>
          <a:effectLst/>
        </c:spPr>
      </c:pivotFmt>
      <c:pivotFmt>
        <c:idx val="2241"/>
        <c:spPr>
          <a:solidFill>
            <a:schemeClr val="accent1"/>
          </a:solidFill>
          <a:ln w="19050">
            <a:solidFill>
              <a:schemeClr val="lt1"/>
            </a:solidFill>
          </a:ln>
          <a:effectLst/>
        </c:spPr>
      </c:pivotFmt>
      <c:pivotFmt>
        <c:idx val="2242"/>
        <c:spPr>
          <a:solidFill>
            <a:schemeClr val="accent1"/>
          </a:solidFill>
          <a:ln w="19050">
            <a:solidFill>
              <a:schemeClr val="lt1"/>
            </a:solidFill>
          </a:ln>
          <a:effectLst/>
        </c:spPr>
      </c:pivotFmt>
      <c:pivotFmt>
        <c:idx val="2243"/>
        <c:spPr>
          <a:solidFill>
            <a:schemeClr val="accent1"/>
          </a:solidFill>
          <a:ln w="19050">
            <a:solidFill>
              <a:schemeClr val="lt1"/>
            </a:solidFill>
          </a:ln>
          <a:effectLst/>
        </c:spPr>
      </c:pivotFmt>
      <c:pivotFmt>
        <c:idx val="2244"/>
        <c:spPr>
          <a:solidFill>
            <a:schemeClr val="accent1"/>
          </a:solidFill>
          <a:ln w="19050">
            <a:solidFill>
              <a:schemeClr val="lt1"/>
            </a:solidFill>
          </a:ln>
          <a:effectLst/>
        </c:spPr>
      </c:pivotFmt>
      <c:pivotFmt>
        <c:idx val="2245"/>
        <c:spPr>
          <a:solidFill>
            <a:schemeClr val="accent1"/>
          </a:solidFill>
          <a:ln w="19050">
            <a:solidFill>
              <a:schemeClr val="lt1"/>
            </a:solidFill>
          </a:ln>
          <a:effectLst/>
        </c:spPr>
      </c:pivotFmt>
      <c:pivotFmt>
        <c:idx val="2246"/>
        <c:spPr>
          <a:solidFill>
            <a:schemeClr val="accent1"/>
          </a:solidFill>
          <a:ln w="19050">
            <a:solidFill>
              <a:schemeClr val="lt1"/>
            </a:solidFill>
          </a:ln>
          <a:effectLst/>
        </c:spPr>
      </c:pivotFmt>
      <c:pivotFmt>
        <c:idx val="2247"/>
        <c:spPr>
          <a:solidFill>
            <a:schemeClr val="accent1"/>
          </a:solidFill>
          <a:ln w="19050">
            <a:solidFill>
              <a:schemeClr val="lt1"/>
            </a:solidFill>
          </a:ln>
          <a:effectLst/>
        </c:spPr>
      </c:pivotFmt>
      <c:pivotFmt>
        <c:idx val="2248"/>
        <c:spPr>
          <a:solidFill>
            <a:schemeClr val="accent1"/>
          </a:solidFill>
          <a:ln w="19050">
            <a:solidFill>
              <a:schemeClr val="lt1"/>
            </a:solidFill>
          </a:ln>
          <a:effectLst/>
        </c:spPr>
      </c:pivotFmt>
      <c:pivotFmt>
        <c:idx val="2249"/>
        <c:spPr>
          <a:solidFill>
            <a:schemeClr val="accent1"/>
          </a:solidFill>
          <a:ln w="19050">
            <a:solidFill>
              <a:schemeClr val="lt1"/>
            </a:solidFill>
          </a:ln>
          <a:effectLst/>
        </c:spPr>
      </c:pivotFmt>
      <c:pivotFmt>
        <c:idx val="22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1"/>
        <c:spPr>
          <a:solidFill>
            <a:schemeClr val="accent1"/>
          </a:solidFill>
          <a:ln w="19050">
            <a:solidFill>
              <a:schemeClr val="lt1"/>
            </a:solidFill>
          </a:ln>
          <a:effectLst/>
        </c:spPr>
      </c:pivotFmt>
      <c:pivotFmt>
        <c:idx val="2252"/>
        <c:spPr>
          <a:solidFill>
            <a:schemeClr val="accent1"/>
          </a:solidFill>
          <a:ln w="19050">
            <a:solidFill>
              <a:schemeClr val="lt1"/>
            </a:solidFill>
          </a:ln>
          <a:effectLst/>
        </c:spPr>
      </c:pivotFmt>
      <c:pivotFmt>
        <c:idx val="2253"/>
        <c:spPr>
          <a:solidFill>
            <a:schemeClr val="accent1"/>
          </a:solidFill>
          <a:ln w="19050">
            <a:solidFill>
              <a:schemeClr val="lt1"/>
            </a:solidFill>
          </a:ln>
          <a:effectLst/>
        </c:spPr>
      </c:pivotFmt>
      <c:pivotFmt>
        <c:idx val="2254"/>
        <c:spPr>
          <a:solidFill>
            <a:schemeClr val="accent1"/>
          </a:solidFill>
          <a:ln w="19050">
            <a:solidFill>
              <a:schemeClr val="lt1"/>
            </a:solidFill>
          </a:ln>
          <a:effectLst/>
        </c:spPr>
      </c:pivotFmt>
      <c:pivotFmt>
        <c:idx val="2255"/>
        <c:spPr>
          <a:solidFill>
            <a:schemeClr val="accent1"/>
          </a:solidFill>
          <a:ln w="19050">
            <a:solidFill>
              <a:schemeClr val="lt1"/>
            </a:solidFill>
          </a:ln>
          <a:effectLst/>
        </c:spPr>
      </c:pivotFmt>
      <c:pivotFmt>
        <c:idx val="2256"/>
        <c:spPr>
          <a:solidFill>
            <a:schemeClr val="accent1"/>
          </a:solidFill>
          <a:ln w="19050">
            <a:solidFill>
              <a:schemeClr val="lt1"/>
            </a:solidFill>
          </a:ln>
          <a:effectLst/>
        </c:spPr>
      </c:pivotFmt>
      <c:pivotFmt>
        <c:idx val="2257"/>
        <c:spPr>
          <a:solidFill>
            <a:schemeClr val="accent1"/>
          </a:solidFill>
          <a:ln w="19050">
            <a:solidFill>
              <a:schemeClr val="lt1"/>
            </a:solidFill>
          </a:ln>
          <a:effectLst/>
        </c:spPr>
      </c:pivotFmt>
      <c:pivotFmt>
        <c:idx val="2258"/>
        <c:spPr>
          <a:solidFill>
            <a:schemeClr val="accent1"/>
          </a:solidFill>
          <a:ln w="19050">
            <a:solidFill>
              <a:schemeClr val="lt1"/>
            </a:solidFill>
          </a:ln>
          <a:effectLst/>
        </c:spPr>
      </c:pivotFmt>
      <c:pivotFmt>
        <c:idx val="2259"/>
        <c:spPr>
          <a:solidFill>
            <a:schemeClr val="accent1"/>
          </a:solidFill>
          <a:ln w="19050">
            <a:solidFill>
              <a:schemeClr val="lt1"/>
            </a:solidFill>
          </a:ln>
          <a:effectLst/>
        </c:spPr>
      </c:pivotFmt>
      <c:pivotFmt>
        <c:idx val="2260"/>
        <c:spPr>
          <a:solidFill>
            <a:schemeClr val="accent1"/>
          </a:solidFill>
          <a:ln w="19050">
            <a:solidFill>
              <a:schemeClr val="lt1"/>
            </a:solidFill>
          </a:ln>
          <a:effectLst/>
        </c:spPr>
      </c:pivotFmt>
      <c:pivotFmt>
        <c:idx val="2261"/>
        <c:spPr>
          <a:solidFill>
            <a:schemeClr val="accent1"/>
          </a:solidFill>
          <a:ln w="19050">
            <a:solidFill>
              <a:schemeClr val="lt1"/>
            </a:solidFill>
          </a:ln>
          <a:effectLst/>
        </c:spPr>
      </c:pivotFmt>
      <c:pivotFmt>
        <c:idx val="2262"/>
        <c:spPr>
          <a:solidFill>
            <a:schemeClr val="accent1"/>
          </a:solidFill>
          <a:ln w="19050">
            <a:solidFill>
              <a:schemeClr val="lt1"/>
            </a:solidFill>
          </a:ln>
          <a:effectLst/>
        </c:spPr>
      </c:pivotFmt>
      <c:pivotFmt>
        <c:idx val="2263"/>
        <c:spPr>
          <a:solidFill>
            <a:schemeClr val="accent1"/>
          </a:solidFill>
          <a:ln w="19050">
            <a:solidFill>
              <a:schemeClr val="lt1"/>
            </a:solidFill>
          </a:ln>
          <a:effectLst/>
        </c:spPr>
      </c:pivotFmt>
      <c:pivotFmt>
        <c:idx val="2264"/>
        <c:spPr>
          <a:solidFill>
            <a:schemeClr val="accent1"/>
          </a:solidFill>
          <a:ln w="19050">
            <a:solidFill>
              <a:schemeClr val="lt1"/>
            </a:solidFill>
          </a:ln>
          <a:effectLst/>
        </c:spPr>
      </c:pivotFmt>
      <c:pivotFmt>
        <c:idx val="2265"/>
        <c:spPr>
          <a:solidFill>
            <a:schemeClr val="accent1"/>
          </a:solidFill>
          <a:ln w="19050">
            <a:solidFill>
              <a:schemeClr val="lt1"/>
            </a:solidFill>
          </a:ln>
          <a:effectLst/>
        </c:spPr>
      </c:pivotFmt>
      <c:pivotFmt>
        <c:idx val="2266"/>
        <c:spPr>
          <a:solidFill>
            <a:schemeClr val="accent1"/>
          </a:solidFill>
          <a:ln w="19050">
            <a:solidFill>
              <a:schemeClr val="lt1"/>
            </a:solidFill>
          </a:ln>
          <a:effectLst/>
        </c:spPr>
      </c:pivotFmt>
      <c:pivotFmt>
        <c:idx val="2267"/>
        <c:spPr>
          <a:solidFill>
            <a:schemeClr val="accent1"/>
          </a:solidFill>
          <a:ln w="19050">
            <a:solidFill>
              <a:schemeClr val="lt1"/>
            </a:solidFill>
          </a:ln>
          <a:effectLst/>
        </c:spPr>
      </c:pivotFmt>
      <c:pivotFmt>
        <c:idx val="2268"/>
        <c:spPr>
          <a:solidFill>
            <a:schemeClr val="accent1"/>
          </a:solidFill>
          <a:ln w="19050">
            <a:solidFill>
              <a:schemeClr val="lt1"/>
            </a:solidFill>
          </a:ln>
          <a:effectLst/>
        </c:spPr>
      </c:pivotFmt>
      <c:pivotFmt>
        <c:idx val="2269"/>
        <c:spPr>
          <a:solidFill>
            <a:schemeClr val="accent1"/>
          </a:solidFill>
          <a:ln w="19050">
            <a:solidFill>
              <a:schemeClr val="lt1"/>
            </a:solidFill>
          </a:ln>
          <a:effectLst/>
        </c:spPr>
      </c:pivotFmt>
      <c:pivotFmt>
        <c:idx val="2270"/>
        <c:spPr>
          <a:solidFill>
            <a:schemeClr val="accent1"/>
          </a:solidFill>
          <a:ln w="19050">
            <a:solidFill>
              <a:schemeClr val="lt1"/>
            </a:solidFill>
          </a:ln>
          <a:effectLst/>
        </c:spPr>
      </c:pivotFmt>
      <c:pivotFmt>
        <c:idx val="2271"/>
        <c:spPr>
          <a:solidFill>
            <a:schemeClr val="accent1"/>
          </a:solidFill>
          <a:ln w="19050">
            <a:solidFill>
              <a:schemeClr val="lt1"/>
            </a:solidFill>
          </a:ln>
          <a:effectLst/>
        </c:spPr>
      </c:pivotFmt>
      <c:pivotFmt>
        <c:idx val="2272"/>
        <c:spPr>
          <a:solidFill>
            <a:schemeClr val="accent1"/>
          </a:solidFill>
          <a:ln w="19050">
            <a:solidFill>
              <a:schemeClr val="lt1"/>
            </a:solidFill>
          </a:ln>
          <a:effectLst/>
        </c:spPr>
      </c:pivotFmt>
      <c:pivotFmt>
        <c:idx val="2273"/>
        <c:spPr>
          <a:solidFill>
            <a:schemeClr val="accent1"/>
          </a:solidFill>
          <a:ln w="19050">
            <a:solidFill>
              <a:schemeClr val="lt1"/>
            </a:solidFill>
          </a:ln>
          <a:effectLst/>
        </c:spPr>
      </c:pivotFmt>
      <c:pivotFmt>
        <c:idx val="2274"/>
        <c:spPr>
          <a:solidFill>
            <a:schemeClr val="accent1"/>
          </a:solidFill>
          <a:ln w="19050">
            <a:solidFill>
              <a:schemeClr val="lt1"/>
            </a:solidFill>
          </a:ln>
          <a:effectLst/>
        </c:spPr>
      </c:pivotFmt>
      <c:pivotFmt>
        <c:idx val="2275"/>
        <c:spPr>
          <a:solidFill>
            <a:schemeClr val="accent1"/>
          </a:solidFill>
          <a:ln w="19050">
            <a:solidFill>
              <a:schemeClr val="lt1"/>
            </a:solidFill>
          </a:ln>
          <a:effectLst/>
        </c:spPr>
      </c:pivotFmt>
      <c:pivotFmt>
        <c:idx val="2276"/>
        <c:spPr>
          <a:solidFill>
            <a:schemeClr val="accent1"/>
          </a:solidFill>
          <a:ln w="19050">
            <a:solidFill>
              <a:schemeClr val="lt1"/>
            </a:solidFill>
          </a:ln>
          <a:effectLst/>
        </c:spPr>
      </c:pivotFmt>
      <c:pivotFmt>
        <c:idx val="22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8"/>
        <c:spPr>
          <a:solidFill>
            <a:schemeClr val="accent1"/>
          </a:solidFill>
          <a:ln w="19050">
            <a:solidFill>
              <a:schemeClr val="lt1"/>
            </a:solidFill>
          </a:ln>
          <a:effectLst/>
        </c:spPr>
      </c:pivotFmt>
      <c:pivotFmt>
        <c:idx val="2279"/>
        <c:spPr>
          <a:solidFill>
            <a:schemeClr val="accent1"/>
          </a:solidFill>
          <a:ln w="19050">
            <a:solidFill>
              <a:schemeClr val="lt1"/>
            </a:solidFill>
          </a:ln>
          <a:effectLst/>
        </c:spPr>
      </c:pivotFmt>
      <c:pivotFmt>
        <c:idx val="2280"/>
        <c:spPr>
          <a:solidFill>
            <a:schemeClr val="accent1"/>
          </a:solidFill>
          <a:ln w="19050">
            <a:solidFill>
              <a:schemeClr val="lt1"/>
            </a:solidFill>
          </a:ln>
          <a:effectLst/>
        </c:spPr>
      </c:pivotFmt>
      <c:pivotFmt>
        <c:idx val="2281"/>
        <c:spPr>
          <a:solidFill>
            <a:schemeClr val="accent1"/>
          </a:solidFill>
          <a:ln w="19050">
            <a:solidFill>
              <a:schemeClr val="lt1"/>
            </a:solidFill>
          </a:ln>
          <a:effectLst/>
        </c:spPr>
      </c:pivotFmt>
      <c:pivotFmt>
        <c:idx val="2282"/>
        <c:spPr>
          <a:solidFill>
            <a:schemeClr val="accent1"/>
          </a:solidFill>
          <a:ln w="19050">
            <a:solidFill>
              <a:schemeClr val="lt1"/>
            </a:solidFill>
          </a:ln>
          <a:effectLst/>
        </c:spPr>
      </c:pivotFmt>
      <c:pivotFmt>
        <c:idx val="2283"/>
        <c:spPr>
          <a:solidFill>
            <a:schemeClr val="accent1"/>
          </a:solidFill>
          <a:ln w="19050">
            <a:solidFill>
              <a:schemeClr val="lt1"/>
            </a:solidFill>
          </a:ln>
          <a:effectLst/>
        </c:spPr>
      </c:pivotFmt>
      <c:pivotFmt>
        <c:idx val="2284"/>
        <c:spPr>
          <a:solidFill>
            <a:schemeClr val="accent1"/>
          </a:solidFill>
          <a:ln w="19050">
            <a:solidFill>
              <a:schemeClr val="lt1"/>
            </a:solidFill>
          </a:ln>
          <a:effectLst/>
        </c:spPr>
      </c:pivotFmt>
      <c:pivotFmt>
        <c:idx val="2285"/>
        <c:spPr>
          <a:solidFill>
            <a:schemeClr val="accent1"/>
          </a:solidFill>
          <a:ln w="19050">
            <a:solidFill>
              <a:schemeClr val="lt1"/>
            </a:solidFill>
          </a:ln>
          <a:effectLst/>
        </c:spPr>
      </c:pivotFmt>
      <c:pivotFmt>
        <c:idx val="2286"/>
        <c:spPr>
          <a:solidFill>
            <a:schemeClr val="accent1"/>
          </a:solidFill>
          <a:ln w="19050">
            <a:solidFill>
              <a:schemeClr val="lt1"/>
            </a:solidFill>
          </a:ln>
          <a:effectLst/>
        </c:spPr>
      </c:pivotFmt>
      <c:pivotFmt>
        <c:idx val="2287"/>
        <c:spPr>
          <a:solidFill>
            <a:schemeClr val="accent1"/>
          </a:solidFill>
          <a:ln w="19050">
            <a:solidFill>
              <a:schemeClr val="lt1"/>
            </a:solidFill>
          </a:ln>
          <a:effectLst/>
        </c:spPr>
      </c:pivotFmt>
      <c:pivotFmt>
        <c:idx val="2288"/>
        <c:spPr>
          <a:solidFill>
            <a:schemeClr val="accent1"/>
          </a:solidFill>
          <a:ln w="19050">
            <a:solidFill>
              <a:schemeClr val="lt1"/>
            </a:solidFill>
          </a:ln>
          <a:effectLst/>
        </c:spPr>
      </c:pivotFmt>
      <c:pivotFmt>
        <c:idx val="2289"/>
        <c:spPr>
          <a:solidFill>
            <a:schemeClr val="accent1"/>
          </a:solidFill>
          <a:ln w="19050">
            <a:solidFill>
              <a:schemeClr val="lt1"/>
            </a:solidFill>
          </a:ln>
          <a:effectLst/>
        </c:spPr>
      </c:pivotFmt>
      <c:pivotFmt>
        <c:idx val="2290"/>
        <c:spPr>
          <a:solidFill>
            <a:schemeClr val="accent1"/>
          </a:solidFill>
          <a:ln w="19050">
            <a:solidFill>
              <a:schemeClr val="lt1"/>
            </a:solidFill>
          </a:ln>
          <a:effectLst/>
        </c:spPr>
      </c:pivotFmt>
      <c:pivotFmt>
        <c:idx val="2291"/>
        <c:spPr>
          <a:solidFill>
            <a:schemeClr val="accent1"/>
          </a:solidFill>
          <a:ln w="19050">
            <a:solidFill>
              <a:schemeClr val="lt1"/>
            </a:solidFill>
          </a:ln>
          <a:effectLst/>
        </c:spPr>
      </c:pivotFmt>
      <c:pivotFmt>
        <c:idx val="2292"/>
        <c:spPr>
          <a:solidFill>
            <a:schemeClr val="accent1"/>
          </a:solidFill>
          <a:ln w="19050">
            <a:solidFill>
              <a:schemeClr val="lt1"/>
            </a:solidFill>
          </a:ln>
          <a:effectLst/>
        </c:spPr>
      </c:pivotFmt>
      <c:pivotFmt>
        <c:idx val="2293"/>
        <c:spPr>
          <a:solidFill>
            <a:schemeClr val="accent1"/>
          </a:solidFill>
          <a:ln w="19050">
            <a:solidFill>
              <a:schemeClr val="lt1"/>
            </a:solidFill>
          </a:ln>
          <a:effectLst/>
        </c:spPr>
      </c:pivotFmt>
      <c:pivotFmt>
        <c:idx val="2294"/>
        <c:spPr>
          <a:solidFill>
            <a:schemeClr val="accent1"/>
          </a:solidFill>
          <a:ln w="19050">
            <a:solidFill>
              <a:schemeClr val="lt1"/>
            </a:solidFill>
          </a:ln>
          <a:effectLst/>
        </c:spPr>
      </c:pivotFmt>
      <c:pivotFmt>
        <c:idx val="2295"/>
        <c:spPr>
          <a:solidFill>
            <a:schemeClr val="accent1"/>
          </a:solidFill>
          <a:ln w="19050">
            <a:solidFill>
              <a:schemeClr val="lt1"/>
            </a:solidFill>
          </a:ln>
          <a:effectLst/>
        </c:spPr>
      </c:pivotFmt>
      <c:pivotFmt>
        <c:idx val="2296"/>
        <c:spPr>
          <a:solidFill>
            <a:schemeClr val="accent1"/>
          </a:solidFill>
          <a:ln w="19050">
            <a:solidFill>
              <a:schemeClr val="lt1"/>
            </a:solidFill>
          </a:ln>
          <a:effectLst/>
        </c:spPr>
      </c:pivotFmt>
      <c:pivotFmt>
        <c:idx val="2297"/>
        <c:spPr>
          <a:solidFill>
            <a:schemeClr val="accent1"/>
          </a:solidFill>
          <a:ln w="19050">
            <a:solidFill>
              <a:schemeClr val="lt1"/>
            </a:solidFill>
          </a:ln>
          <a:effectLst/>
        </c:spPr>
      </c:pivotFmt>
      <c:pivotFmt>
        <c:idx val="2298"/>
        <c:spPr>
          <a:solidFill>
            <a:schemeClr val="accent1"/>
          </a:solidFill>
          <a:ln w="19050">
            <a:solidFill>
              <a:schemeClr val="lt1"/>
            </a:solidFill>
          </a:ln>
          <a:effectLst/>
        </c:spPr>
      </c:pivotFmt>
      <c:pivotFmt>
        <c:idx val="2299"/>
        <c:spPr>
          <a:solidFill>
            <a:schemeClr val="accent1"/>
          </a:solidFill>
          <a:ln w="19050">
            <a:solidFill>
              <a:schemeClr val="lt1"/>
            </a:solidFill>
          </a:ln>
          <a:effectLst/>
        </c:spPr>
      </c:pivotFmt>
      <c:pivotFmt>
        <c:idx val="2300"/>
        <c:spPr>
          <a:solidFill>
            <a:schemeClr val="accent1"/>
          </a:solidFill>
          <a:ln w="19050">
            <a:solidFill>
              <a:schemeClr val="lt1"/>
            </a:solidFill>
          </a:ln>
          <a:effectLst/>
        </c:spPr>
      </c:pivotFmt>
      <c:pivotFmt>
        <c:idx val="2301"/>
        <c:spPr>
          <a:solidFill>
            <a:schemeClr val="accent1"/>
          </a:solidFill>
          <a:ln w="19050">
            <a:solidFill>
              <a:schemeClr val="lt1"/>
            </a:solidFill>
          </a:ln>
          <a:effectLst/>
        </c:spPr>
      </c:pivotFmt>
      <c:pivotFmt>
        <c:idx val="2302"/>
        <c:spPr>
          <a:solidFill>
            <a:schemeClr val="accent1"/>
          </a:solidFill>
          <a:ln w="19050">
            <a:solidFill>
              <a:schemeClr val="lt1"/>
            </a:solidFill>
          </a:ln>
          <a:effectLst/>
        </c:spPr>
      </c:pivotFmt>
      <c:pivotFmt>
        <c:idx val="2303"/>
        <c:spPr>
          <a:solidFill>
            <a:schemeClr val="accent1"/>
          </a:solidFill>
          <a:ln w="19050">
            <a:solidFill>
              <a:schemeClr val="lt1"/>
            </a:solidFill>
          </a:ln>
          <a:effectLst/>
        </c:spPr>
      </c:pivotFmt>
      <c:pivotFmt>
        <c:idx val="23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5"/>
        <c:spPr>
          <a:solidFill>
            <a:schemeClr val="accent1"/>
          </a:solidFill>
          <a:ln w="19050">
            <a:solidFill>
              <a:schemeClr val="lt1"/>
            </a:solidFill>
          </a:ln>
          <a:effectLst/>
        </c:spPr>
      </c:pivotFmt>
      <c:pivotFmt>
        <c:idx val="2306"/>
        <c:spPr>
          <a:solidFill>
            <a:schemeClr val="accent1"/>
          </a:solidFill>
          <a:ln w="19050">
            <a:solidFill>
              <a:schemeClr val="lt1"/>
            </a:solidFill>
          </a:ln>
          <a:effectLst/>
        </c:spPr>
      </c:pivotFmt>
      <c:pivotFmt>
        <c:idx val="2307"/>
        <c:spPr>
          <a:solidFill>
            <a:schemeClr val="accent1"/>
          </a:solidFill>
          <a:ln w="19050">
            <a:solidFill>
              <a:schemeClr val="lt1"/>
            </a:solidFill>
          </a:ln>
          <a:effectLst/>
        </c:spPr>
      </c:pivotFmt>
      <c:pivotFmt>
        <c:idx val="2308"/>
        <c:spPr>
          <a:solidFill>
            <a:schemeClr val="accent1"/>
          </a:solidFill>
          <a:ln w="19050">
            <a:solidFill>
              <a:schemeClr val="lt1"/>
            </a:solidFill>
          </a:ln>
          <a:effectLst/>
        </c:spPr>
      </c:pivotFmt>
      <c:pivotFmt>
        <c:idx val="2309"/>
        <c:spPr>
          <a:solidFill>
            <a:schemeClr val="accent1"/>
          </a:solidFill>
          <a:ln w="19050">
            <a:solidFill>
              <a:schemeClr val="lt1"/>
            </a:solidFill>
          </a:ln>
          <a:effectLst/>
        </c:spPr>
      </c:pivotFmt>
      <c:pivotFmt>
        <c:idx val="2310"/>
        <c:spPr>
          <a:solidFill>
            <a:schemeClr val="accent1"/>
          </a:solidFill>
          <a:ln w="19050">
            <a:solidFill>
              <a:schemeClr val="lt1"/>
            </a:solidFill>
          </a:ln>
          <a:effectLst/>
        </c:spPr>
      </c:pivotFmt>
      <c:pivotFmt>
        <c:idx val="2311"/>
        <c:spPr>
          <a:solidFill>
            <a:schemeClr val="accent1"/>
          </a:solidFill>
          <a:ln w="19050">
            <a:solidFill>
              <a:schemeClr val="lt1"/>
            </a:solidFill>
          </a:ln>
          <a:effectLst/>
        </c:spPr>
      </c:pivotFmt>
      <c:pivotFmt>
        <c:idx val="2312"/>
        <c:spPr>
          <a:solidFill>
            <a:schemeClr val="accent1"/>
          </a:solidFill>
          <a:ln w="19050">
            <a:solidFill>
              <a:schemeClr val="lt1"/>
            </a:solidFill>
          </a:ln>
          <a:effectLst/>
        </c:spPr>
      </c:pivotFmt>
      <c:pivotFmt>
        <c:idx val="2313"/>
        <c:spPr>
          <a:solidFill>
            <a:schemeClr val="accent1"/>
          </a:solidFill>
          <a:ln w="19050">
            <a:solidFill>
              <a:schemeClr val="lt1"/>
            </a:solidFill>
          </a:ln>
          <a:effectLst/>
        </c:spPr>
      </c:pivotFmt>
      <c:pivotFmt>
        <c:idx val="2314"/>
        <c:spPr>
          <a:solidFill>
            <a:schemeClr val="accent1"/>
          </a:solidFill>
          <a:ln w="19050">
            <a:solidFill>
              <a:schemeClr val="lt1"/>
            </a:solidFill>
          </a:ln>
          <a:effectLst/>
        </c:spPr>
      </c:pivotFmt>
      <c:pivotFmt>
        <c:idx val="2315"/>
        <c:spPr>
          <a:solidFill>
            <a:schemeClr val="accent1"/>
          </a:solidFill>
          <a:ln w="19050">
            <a:solidFill>
              <a:schemeClr val="lt1"/>
            </a:solidFill>
          </a:ln>
          <a:effectLst/>
        </c:spPr>
      </c:pivotFmt>
      <c:pivotFmt>
        <c:idx val="2316"/>
        <c:spPr>
          <a:solidFill>
            <a:schemeClr val="accent1"/>
          </a:solidFill>
          <a:ln w="19050">
            <a:solidFill>
              <a:schemeClr val="lt1"/>
            </a:solidFill>
          </a:ln>
          <a:effectLst/>
        </c:spPr>
      </c:pivotFmt>
      <c:pivotFmt>
        <c:idx val="2317"/>
        <c:spPr>
          <a:solidFill>
            <a:schemeClr val="accent1"/>
          </a:solidFill>
          <a:ln w="19050">
            <a:solidFill>
              <a:schemeClr val="lt1"/>
            </a:solidFill>
          </a:ln>
          <a:effectLst/>
        </c:spPr>
      </c:pivotFmt>
      <c:pivotFmt>
        <c:idx val="2318"/>
        <c:spPr>
          <a:solidFill>
            <a:schemeClr val="accent1"/>
          </a:solidFill>
          <a:ln w="19050">
            <a:solidFill>
              <a:schemeClr val="lt1"/>
            </a:solidFill>
          </a:ln>
          <a:effectLst/>
        </c:spPr>
      </c:pivotFmt>
      <c:pivotFmt>
        <c:idx val="2319"/>
        <c:spPr>
          <a:solidFill>
            <a:schemeClr val="accent1"/>
          </a:solidFill>
          <a:ln w="19050">
            <a:solidFill>
              <a:schemeClr val="lt1"/>
            </a:solidFill>
          </a:ln>
          <a:effectLst/>
        </c:spPr>
      </c:pivotFmt>
      <c:pivotFmt>
        <c:idx val="2320"/>
        <c:spPr>
          <a:solidFill>
            <a:schemeClr val="accent1"/>
          </a:solidFill>
          <a:ln w="19050">
            <a:solidFill>
              <a:schemeClr val="lt1"/>
            </a:solidFill>
          </a:ln>
          <a:effectLst/>
        </c:spPr>
      </c:pivotFmt>
      <c:pivotFmt>
        <c:idx val="2321"/>
        <c:spPr>
          <a:solidFill>
            <a:schemeClr val="accent1"/>
          </a:solidFill>
          <a:ln w="19050">
            <a:solidFill>
              <a:schemeClr val="lt1"/>
            </a:solidFill>
          </a:ln>
          <a:effectLst/>
        </c:spPr>
      </c:pivotFmt>
      <c:pivotFmt>
        <c:idx val="2322"/>
        <c:spPr>
          <a:solidFill>
            <a:schemeClr val="accent1"/>
          </a:solidFill>
          <a:ln w="19050">
            <a:solidFill>
              <a:schemeClr val="lt1"/>
            </a:solidFill>
          </a:ln>
          <a:effectLst/>
        </c:spPr>
      </c:pivotFmt>
      <c:pivotFmt>
        <c:idx val="2323"/>
        <c:spPr>
          <a:solidFill>
            <a:schemeClr val="accent1"/>
          </a:solidFill>
          <a:ln w="19050">
            <a:solidFill>
              <a:schemeClr val="lt1"/>
            </a:solidFill>
          </a:ln>
          <a:effectLst/>
        </c:spPr>
      </c:pivotFmt>
      <c:pivotFmt>
        <c:idx val="2324"/>
        <c:spPr>
          <a:solidFill>
            <a:schemeClr val="accent1"/>
          </a:solidFill>
          <a:ln w="19050">
            <a:solidFill>
              <a:schemeClr val="lt1"/>
            </a:solidFill>
          </a:ln>
          <a:effectLst/>
        </c:spPr>
      </c:pivotFmt>
      <c:pivotFmt>
        <c:idx val="2325"/>
        <c:spPr>
          <a:solidFill>
            <a:schemeClr val="accent1"/>
          </a:solidFill>
          <a:ln w="19050">
            <a:solidFill>
              <a:schemeClr val="lt1"/>
            </a:solidFill>
          </a:ln>
          <a:effectLst/>
        </c:spPr>
      </c:pivotFmt>
      <c:pivotFmt>
        <c:idx val="2326"/>
        <c:spPr>
          <a:solidFill>
            <a:schemeClr val="accent1"/>
          </a:solidFill>
          <a:ln w="19050">
            <a:solidFill>
              <a:schemeClr val="lt1"/>
            </a:solidFill>
          </a:ln>
          <a:effectLst/>
        </c:spPr>
      </c:pivotFmt>
      <c:pivotFmt>
        <c:idx val="2327"/>
        <c:spPr>
          <a:solidFill>
            <a:schemeClr val="accent1"/>
          </a:solidFill>
          <a:ln w="19050">
            <a:solidFill>
              <a:schemeClr val="lt1"/>
            </a:solidFill>
          </a:ln>
          <a:effectLst/>
        </c:spPr>
      </c:pivotFmt>
      <c:pivotFmt>
        <c:idx val="2328"/>
        <c:spPr>
          <a:solidFill>
            <a:schemeClr val="accent1"/>
          </a:solidFill>
          <a:ln w="19050">
            <a:solidFill>
              <a:schemeClr val="lt1"/>
            </a:solidFill>
          </a:ln>
          <a:effectLst/>
        </c:spPr>
      </c:pivotFmt>
      <c:pivotFmt>
        <c:idx val="2329"/>
        <c:spPr>
          <a:solidFill>
            <a:schemeClr val="accent1"/>
          </a:solidFill>
          <a:ln w="19050">
            <a:solidFill>
              <a:schemeClr val="lt1"/>
            </a:solidFill>
          </a:ln>
          <a:effectLst/>
        </c:spPr>
      </c:pivotFmt>
      <c:pivotFmt>
        <c:idx val="2330"/>
        <c:spPr>
          <a:solidFill>
            <a:schemeClr val="accent1"/>
          </a:solidFill>
          <a:ln w="19050">
            <a:solidFill>
              <a:schemeClr val="lt1"/>
            </a:solidFill>
          </a:ln>
          <a:effectLst/>
        </c:spPr>
      </c:pivotFmt>
      <c:pivotFmt>
        <c:idx val="23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2"/>
        <c:spPr>
          <a:solidFill>
            <a:schemeClr val="accent1"/>
          </a:solidFill>
          <a:ln w="19050">
            <a:solidFill>
              <a:schemeClr val="lt1"/>
            </a:solidFill>
          </a:ln>
          <a:effectLst/>
        </c:spPr>
      </c:pivotFmt>
      <c:pivotFmt>
        <c:idx val="2333"/>
        <c:spPr>
          <a:solidFill>
            <a:schemeClr val="accent1"/>
          </a:solidFill>
          <a:ln w="19050">
            <a:solidFill>
              <a:schemeClr val="lt1"/>
            </a:solidFill>
          </a:ln>
          <a:effectLst/>
        </c:spPr>
      </c:pivotFmt>
      <c:pivotFmt>
        <c:idx val="2334"/>
        <c:spPr>
          <a:solidFill>
            <a:schemeClr val="accent1"/>
          </a:solidFill>
          <a:ln w="19050">
            <a:solidFill>
              <a:schemeClr val="lt1"/>
            </a:solidFill>
          </a:ln>
          <a:effectLst/>
        </c:spPr>
      </c:pivotFmt>
      <c:pivotFmt>
        <c:idx val="2335"/>
        <c:spPr>
          <a:solidFill>
            <a:schemeClr val="accent1"/>
          </a:solidFill>
          <a:ln w="19050">
            <a:solidFill>
              <a:schemeClr val="lt1"/>
            </a:solidFill>
          </a:ln>
          <a:effectLst/>
        </c:spPr>
      </c:pivotFmt>
      <c:pivotFmt>
        <c:idx val="2336"/>
        <c:spPr>
          <a:solidFill>
            <a:schemeClr val="accent1"/>
          </a:solidFill>
          <a:ln w="19050">
            <a:solidFill>
              <a:schemeClr val="lt1"/>
            </a:solidFill>
          </a:ln>
          <a:effectLst/>
        </c:spPr>
      </c:pivotFmt>
      <c:pivotFmt>
        <c:idx val="2337"/>
        <c:spPr>
          <a:solidFill>
            <a:schemeClr val="accent1"/>
          </a:solidFill>
          <a:ln w="19050">
            <a:solidFill>
              <a:schemeClr val="lt1"/>
            </a:solidFill>
          </a:ln>
          <a:effectLst/>
        </c:spPr>
      </c:pivotFmt>
      <c:pivotFmt>
        <c:idx val="2338"/>
        <c:spPr>
          <a:solidFill>
            <a:schemeClr val="accent1"/>
          </a:solidFill>
          <a:ln w="19050">
            <a:solidFill>
              <a:schemeClr val="lt1"/>
            </a:solidFill>
          </a:ln>
          <a:effectLst/>
        </c:spPr>
      </c:pivotFmt>
      <c:pivotFmt>
        <c:idx val="2339"/>
        <c:spPr>
          <a:solidFill>
            <a:schemeClr val="accent1"/>
          </a:solidFill>
          <a:ln w="19050">
            <a:solidFill>
              <a:schemeClr val="lt1"/>
            </a:solidFill>
          </a:ln>
          <a:effectLst/>
        </c:spPr>
      </c:pivotFmt>
      <c:pivotFmt>
        <c:idx val="2340"/>
        <c:spPr>
          <a:solidFill>
            <a:schemeClr val="accent1"/>
          </a:solidFill>
          <a:ln w="19050">
            <a:solidFill>
              <a:schemeClr val="lt1"/>
            </a:solidFill>
          </a:ln>
          <a:effectLst/>
        </c:spPr>
      </c:pivotFmt>
      <c:pivotFmt>
        <c:idx val="2341"/>
        <c:spPr>
          <a:solidFill>
            <a:schemeClr val="accent1"/>
          </a:solidFill>
          <a:ln w="19050">
            <a:solidFill>
              <a:schemeClr val="lt1"/>
            </a:solidFill>
          </a:ln>
          <a:effectLst/>
        </c:spPr>
      </c:pivotFmt>
      <c:pivotFmt>
        <c:idx val="2342"/>
        <c:spPr>
          <a:solidFill>
            <a:schemeClr val="accent1"/>
          </a:solidFill>
          <a:ln w="19050">
            <a:solidFill>
              <a:schemeClr val="lt1"/>
            </a:solidFill>
          </a:ln>
          <a:effectLst/>
        </c:spPr>
      </c:pivotFmt>
      <c:pivotFmt>
        <c:idx val="2343"/>
        <c:spPr>
          <a:solidFill>
            <a:schemeClr val="accent1"/>
          </a:solidFill>
          <a:ln w="19050">
            <a:solidFill>
              <a:schemeClr val="lt1"/>
            </a:solidFill>
          </a:ln>
          <a:effectLst/>
        </c:spPr>
      </c:pivotFmt>
      <c:pivotFmt>
        <c:idx val="2344"/>
        <c:spPr>
          <a:solidFill>
            <a:schemeClr val="accent1"/>
          </a:solidFill>
          <a:ln w="19050">
            <a:solidFill>
              <a:schemeClr val="lt1"/>
            </a:solidFill>
          </a:ln>
          <a:effectLst/>
        </c:spPr>
      </c:pivotFmt>
      <c:pivotFmt>
        <c:idx val="2345"/>
        <c:spPr>
          <a:solidFill>
            <a:schemeClr val="accent1"/>
          </a:solidFill>
          <a:ln w="19050">
            <a:solidFill>
              <a:schemeClr val="lt1"/>
            </a:solidFill>
          </a:ln>
          <a:effectLst/>
        </c:spPr>
      </c:pivotFmt>
      <c:pivotFmt>
        <c:idx val="2346"/>
        <c:spPr>
          <a:solidFill>
            <a:schemeClr val="accent1"/>
          </a:solidFill>
          <a:ln w="19050">
            <a:solidFill>
              <a:schemeClr val="lt1"/>
            </a:solidFill>
          </a:ln>
          <a:effectLst/>
        </c:spPr>
      </c:pivotFmt>
      <c:pivotFmt>
        <c:idx val="2347"/>
        <c:spPr>
          <a:solidFill>
            <a:schemeClr val="accent1"/>
          </a:solidFill>
          <a:ln w="19050">
            <a:solidFill>
              <a:schemeClr val="lt1"/>
            </a:solidFill>
          </a:ln>
          <a:effectLst/>
        </c:spPr>
      </c:pivotFmt>
      <c:pivotFmt>
        <c:idx val="2348"/>
        <c:spPr>
          <a:solidFill>
            <a:schemeClr val="accent1"/>
          </a:solidFill>
          <a:ln w="19050">
            <a:solidFill>
              <a:schemeClr val="lt1"/>
            </a:solidFill>
          </a:ln>
          <a:effectLst/>
        </c:spPr>
      </c:pivotFmt>
      <c:pivotFmt>
        <c:idx val="2349"/>
        <c:spPr>
          <a:solidFill>
            <a:schemeClr val="accent1"/>
          </a:solidFill>
          <a:ln w="19050">
            <a:solidFill>
              <a:schemeClr val="lt1"/>
            </a:solidFill>
          </a:ln>
          <a:effectLst/>
        </c:spPr>
      </c:pivotFmt>
      <c:pivotFmt>
        <c:idx val="2350"/>
        <c:spPr>
          <a:solidFill>
            <a:schemeClr val="accent1"/>
          </a:solidFill>
          <a:ln w="19050">
            <a:solidFill>
              <a:schemeClr val="lt1"/>
            </a:solidFill>
          </a:ln>
          <a:effectLst/>
        </c:spPr>
      </c:pivotFmt>
      <c:pivotFmt>
        <c:idx val="2351"/>
        <c:spPr>
          <a:solidFill>
            <a:schemeClr val="accent1"/>
          </a:solidFill>
          <a:ln w="19050">
            <a:solidFill>
              <a:schemeClr val="lt1"/>
            </a:solidFill>
          </a:ln>
          <a:effectLst/>
        </c:spPr>
      </c:pivotFmt>
      <c:pivotFmt>
        <c:idx val="2352"/>
        <c:spPr>
          <a:solidFill>
            <a:schemeClr val="accent1"/>
          </a:solidFill>
          <a:ln w="19050">
            <a:solidFill>
              <a:schemeClr val="lt1"/>
            </a:solidFill>
          </a:ln>
          <a:effectLst/>
        </c:spPr>
      </c:pivotFmt>
      <c:pivotFmt>
        <c:idx val="2353"/>
        <c:spPr>
          <a:solidFill>
            <a:schemeClr val="accent1"/>
          </a:solidFill>
          <a:ln w="19050">
            <a:solidFill>
              <a:schemeClr val="lt1"/>
            </a:solidFill>
          </a:ln>
          <a:effectLst/>
        </c:spPr>
      </c:pivotFmt>
      <c:pivotFmt>
        <c:idx val="2354"/>
        <c:spPr>
          <a:solidFill>
            <a:schemeClr val="accent1"/>
          </a:solidFill>
          <a:ln w="19050">
            <a:solidFill>
              <a:schemeClr val="lt1"/>
            </a:solidFill>
          </a:ln>
          <a:effectLst/>
        </c:spPr>
      </c:pivotFmt>
      <c:pivotFmt>
        <c:idx val="2355"/>
        <c:spPr>
          <a:solidFill>
            <a:schemeClr val="accent1"/>
          </a:solidFill>
          <a:ln w="19050">
            <a:solidFill>
              <a:schemeClr val="lt1"/>
            </a:solidFill>
          </a:ln>
          <a:effectLst/>
        </c:spPr>
      </c:pivotFmt>
      <c:pivotFmt>
        <c:idx val="2356"/>
        <c:spPr>
          <a:solidFill>
            <a:schemeClr val="accent1"/>
          </a:solidFill>
          <a:ln w="19050">
            <a:solidFill>
              <a:schemeClr val="lt1"/>
            </a:solidFill>
          </a:ln>
          <a:effectLst/>
        </c:spPr>
      </c:pivotFmt>
      <c:pivotFmt>
        <c:idx val="2357"/>
        <c:spPr>
          <a:solidFill>
            <a:schemeClr val="accent1"/>
          </a:solidFill>
          <a:ln w="19050">
            <a:solidFill>
              <a:schemeClr val="lt1"/>
            </a:solidFill>
          </a:ln>
          <a:effectLst/>
        </c:spPr>
      </c:pivotFmt>
      <c:pivotFmt>
        <c:idx val="23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9"/>
        <c:spPr>
          <a:solidFill>
            <a:schemeClr val="accent1"/>
          </a:solidFill>
          <a:ln w="19050">
            <a:solidFill>
              <a:schemeClr val="lt1"/>
            </a:solidFill>
          </a:ln>
          <a:effectLst/>
        </c:spPr>
      </c:pivotFmt>
      <c:pivotFmt>
        <c:idx val="2360"/>
        <c:spPr>
          <a:solidFill>
            <a:schemeClr val="accent1"/>
          </a:solidFill>
          <a:ln w="19050">
            <a:solidFill>
              <a:schemeClr val="lt1"/>
            </a:solidFill>
          </a:ln>
          <a:effectLst/>
        </c:spPr>
      </c:pivotFmt>
      <c:pivotFmt>
        <c:idx val="2361"/>
        <c:spPr>
          <a:solidFill>
            <a:schemeClr val="accent1"/>
          </a:solidFill>
          <a:ln w="19050">
            <a:solidFill>
              <a:schemeClr val="lt1"/>
            </a:solidFill>
          </a:ln>
          <a:effectLst/>
        </c:spPr>
      </c:pivotFmt>
      <c:pivotFmt>
        <c:idx val="2362"/>
        <c:spPr>
          <a:solidFill>
            <a:schemeClr val="accent1"/>
          </a:solidFill>
          <a:ln w="19050">
            <a:solidFill>
              <a:schemeClr val="lt1"/>
            </a:solidFill>
          </a:ln>
          <a:effectLst/>
        </c:spPr>
      </c:pivotFmt>
      <c:pivotFmt>
        <c:idx val="2363"/>
        <c:spPr>
          <a:solidFill>
            <a:schemeClr val="accent1"/>
          </a:solidFill>
          <a:ln w="19050">
            <a:solidFill>
              <a:schemeClr val="lt1"/>
            </a:solidFill>
          </a:ln>
          <a:effectLst/>
        </c:spPr>
      </c:pivotFmt>
      <c:pivotFmt>
        <c:idx val="2364"/>
        <c:spPr>
          <a:solidFill>
            <a:schemeClr val="accent1"/>
          </a:solidFill>
          <a:ln w="19050">
            <a:solidFill>
              <a:schemeClr val="lt1"/>
            </a:solidFill>
          </a:ln>
          <a:effectLst/>
        </c:spPr>
      </c:pivotFmt>
      <c:pivotFmt>
        <c:idx val="2365"/>
        <c:spPr>
          <a:solidFill>
            <a:schemeClr val="accent1"/>
          </a:solidFill>
          <a:ln w="19050">
            <a:solidFill>
              <a:schemeClr val="lt1"/>
            </a:solidFill>
          </a:ln>
          <a:effectLst/>
        </c:spPr>
      </c:pivotFmt>
      <c:pivotFmt>
        <c:idx val="2366"/>
        <c:spPr>
          <a:solidFill>
            <a:schemeClr val="accent1"/>
          </a:solidFill>
          <a:ln w="19050">
            <a:solidFill>
              <a:schemeClr val="lt1"/>
            </a:solidFill>
          </a:ln>
          <a:effectLst/>
        </c:spPr>
      </c:pivotFmt>
      <c:pivotFmt>
        <c:idx val="2367"/>
        <c:spPr>
          <a:solidFill>
            <a:schemeClr val="accent1"/>
          </a:solidFill>
          <a:ln w="19050">
            <a:solidFill>
              <a:schemeClr val="lt1"/>
            </a:solidFill>
          </a:ln>
          <a:effectLst/>
        </c:spPr>
      </c:pivotFmt>
      <c:pivotFmt>
        <c:idx val="2368"/>
        <c:spPr>
          <a:solidFill>
            <a:schemeClr val="accent1"/>
          </a:solidFill>
          <a:ln w="19050">
            <a:solidFill>
              <a:schemeClr val="lt1"/>
            </a:solidFill>
          </a:ln>
          <a:effectLst/>
        </c:spPr>
      </c:pivotFmt>
      <c:pivotFmt>
        <c:idx val="2369"/>
        <c:spPr>
          <a:solidFill>
            <a:schemeClr val="accent1"/>
          </a:solidFill>
          <a:ln w="19050">
            <a:solidFill>
              <a:schemeClr val="lt1"/>
            </a:solidFill>
          </a:ln>
          <a:effectLst/>
        </c:spPr>
      </c:pivotFmt>
      <c:pivotFmt>
        <c:idx val="2370"/>
        <c:spPr>
          <a:solidFill>
            <a:schemeClr val="accent1"/>
          </a:solidFill>
          <a:ln w="19050">
            <a:solidFill>
              <a:schemeClr val="lt1"/>
            </a:solidFill>
          </a:ln>
          <a:effectLst/>
        </c:spPr>
      </c:pivotFmt>
      <c:pivotFmt>
        <c:idx val="2371"/>
        <c:spPr>
          <a:solidFill>
            <a:schemeClr val="accent1"/>
          </a:solidFill>
          <a:ln w="19050">
            <a:solidFill>
              <a:schemeClr val="lt1"/>
            </a:solidFill>
          </a:ln>
          <a:effectLst/>
        </c:spPr>
      </c:pivotFmt>
      <c:pivotFmt>
        <c:idx val="2372"/>
        <c:spPr>
          <a:solidFill>
            <a:schemeClr val="accent1"/>
          </a:solidFill>
          <a:ln w="19050">
            <a:solidFill>
              <a:schemeClr val="lt1"/>
            </a:solidFill>
          </a:ln>
          <a:effectLst/>
        </c:spPr>
      </c:pivotFmt>
      <c:pivotFmt>
        <c:idx val="2373"/>
        <c:spPr>
          <a:solidFill>
            <a:schemeClr val="accent1"/>
          </a:solidFill>
          <a:ln w="19050">
            <a:solidFill>
              <a:schemeClr val="lt1"/>
            </a:solidFill>
          </a:ln>
          <a:effectLst/>
        </c:spPr>
      </c:pivotFmt>
      <c:pivotFmt>
        <c:idx val="2374"/>
        <c:spPr>
          <a:solidFill>
            <a:schemeClr val="accent1"/>
          </a:solidFill>
          <a:ln w="19050">
            <a:solidFill>
              <a:schemeClr val="lt1"/>
            </a:solidFill>
          </a:ln>
          <a:effectLst/>
        </c:spPr>
      </c:pivotFmt>
      <c:pivotFmt>
        <c:idx val="2375"/>
        <c:spPr>
          <a:solidFill>
            <a:schemeClr val="accent1"/>
          </a:solidFill>
          <a:ln w="19050">
            <a:solidFill>
              <a:schemeClr val="lt1"/>
            </a:solidFill>
          </a:ln>
          <a:effectLst/>
        </c:spPr>
      </c:pivotFmt>
      <c:pivotFmt>
        <c:idx val="2376"/>
        <c:spPr>
          <a:solidFill>
            <a:schemeClr val="accent1"/>
          </a:solidFill>
          <a:ln w="19050">
            <a:solidFill>
              <a:schemeClr val="lt1"/>
            </a:solidFill>
          </a:ln>
          <a:effectLst/>
        </c:spPr>
      </c:pivotFmt>
      <c:pivotFmt>
        <c:idx val="2377"/>
        <c:spPr>
          <a:solidFill>
            <a:schemeClr val="accent1"/>
          </a:solidFill>
          <a:ln w="19050">
            <a:solidFill>
              <a:schemeClr val="lt1"/>
            </a:solidFill>
          </a:ln>
          <a:effectLst/>
        </c:spPr>
      </c:pivotFmt>
      <c:pivotFmt>
        <c:idx val="2378"/>
        <c:spPr>
          <a:solidFill>
            <a:schemeClr val="accent1"/>
          </a:solidFill>
          <a:ln w="19050">
            <a:solidFill>
              <a:schemeClr val="lt1"/>
            </a:solidFill>
          </a:ln>
          <a:effectLst/>
        </c:spPr>
      </c:pivotFmt>
      <c:pivotFmt>
        <c:idx val="2379"/>
        <c:spPr>
          <a:solidFill>
            <a:schemeClr val="accent1"/>
          </a:solidFill>
          <a:ln w="19050">
            <a:solidFill>
              <a:schemeClr val="lt1"/>
            </a:solidFill>
          </a:ln>
          <a:effectLst/>
        </c:spPr>
      </c:pivotFmt>
      <c:pivotFmt>
        <c:idx val="2380"/>
        <c:spPr>
          <a:solidFill>
            <a:schemeClr val="accent1"/>
          </a:solidFill>
          <a:ln w="19050">
            <a:solidFill>
              <a:schemeClr val="lt1"/>
            </a:solidFill>
          </a:ln>
          <a:effectLst/>
        </c:spPr>
      </c:pivotFmt>
      <c:pivotFmt>
        <c:idx val="2381"/>
        <c:spPr>
          <a:solidFill>
            <a:schemeClr val="accent1"/>
          </a:solidFill>
          <a:ln w="19050">
            <a:solidFill>
              <a:schemeClr val="lt1"/>
            </a:solidFill>
          </a:ln>
          <a:effectLst/>
        </c:spPr>
      </c:pivotFmt>
      <c:pivotFmt>
        <c:idx val="2382"/>
        <c:spPr>
          <a:solidFill>
            <a:schemeClr val="accent1"/>
          </a:solidFill>
          <a:ln w="19050">
            <a:solidFill>
              <a:schemeClr val="lt1"/>
            </a:solidFill>
          </a:ln>
          <a:effectLst/>
        </c:spPr>
      </c:pivotFmt>
      <c:pivotFmt>
        <c:idx val="2383"/>
        <c:spPr>
          <a:solidFill>
            <a:schemeClr val="accent1"/>
          </a:solidFill>
          <a:ln w="19050">
            <a:solidFill>
              <a:schemeClr val="lt1"/>
            </a:solidFill>
          </a:ln>
          <a:effectLst/>
        </c:spPr>
      </c:pivotFmt>
      <c:pivotFmt>
        <c:idx val="2384"/>
        <c:spPr>
          <a:solidFill>
            <a:schemeClr val="accent1"/>
          </a:solidFill>
          <a:ln w="19050">
            <a:solidFill>
              <a:schemeClr val="lt1"/>
            </a:solidFill>
          </a:ln>
          <a:effectLst/>
        </c:spPr>
      </c:pivotFmt>
      <c:pivotFmt>
        <c:idx val="23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6"/>
        <c:spPr>
          <a:solidFill>
            <a:schemeClr val="accent1"/>
          </a:solidFill>
          <a:ln w="19050">
            <a:solidFill>
              <a:schemeClr val="lt1"/>
            </a:solidFill>
          </a:ln>
          <a:effectLst/>
        </c:spPr>
      </c:pivotFmt>
      <c:pivotFmt>
        <c:idx val="2387"/>
        <c:spPr>
          <a:solidFill>
            <a:schemeClr val="accent1"/>
          </a:solidFill>
          <a:ln w="19050">
            <a:solidFill>
              <a:schemeClr val="lt1"/>
            </a:solidFill>
          </a:ln>
          <a:effectLst/>
        </c:spPr>
      </c:pivotFmt>
      <c:pivotFmt>
        <c:idx val="2388"/>
        <c:spPr>
          <a:solidFill>
            <a:schemeClr val="accent1"/>
          </a:solidFill>
          <a:ln w="19050">
            <a:solidFill>
              <a:schemeClr val="lt1"/>
            </a:solidFill>
          </a:ln>
          <a:effectLst/>
        </c:spPr>
      </c:pivotFmt>
      <c:pivotFmt>
        <c:idx val="2389"/>
        <c:spPr>
          <a:solidFill>
            <a:schemeClr val="accent1"/>
          </a:solidFill>
          <a:ln w="19050">
            <a:solidFill>
              <a:schemeClr val="lt1"/>
            </a:solidFill>
          </a:ln>
          <a:effectLst/>
        </c:spPr>
      </c:pivotFmt>
      <c:pivotFmt>
        <c:idx val="2390"/>
        <c:spPr>
          <a:solidFill>
            <a:schemeClr val="accent1"/>
          </a:solidFill>
          <a:ln w="19050">
            <a:solidFill>
              <a:schemeClr val="lt1"/>
            </a:solidFill>
          </a:ln>
          <a:effectLst/>
        </c:spPr>
      </c:pivotFmt>
      <c:pivotFmt>
        <c:idx val="2391"/>
        <c:spPr>
          <a:solidFill>
            <a:schemeClr val="accent1"/>
          </a:solidFill>
          <a:ln w="19050">
            <a:solidFill>
              <a:schemeClr val="lt1"/>
            </a:solidFill>
          </a:ln>
          <a:effectLst/>
        </c:spPr>
      </c:pivotFmt>
      <c:pivotFmt>
        <c:idx val="2392"/>
        <c:spPr>
          <a:solidFill>
            <a:schemeClr val="accent1"/>
          </a:solidFill>
          <a:ln w="19050">
            <a:solidFill>
              <a:schemeClr val="lt1"/>
            </a:solidFill>
          </a:ln>
          <a:effectLst/>
        </c:spPr>
      </c:pivotFmt>
      <c:pivotFmt>
        <c:idx val="2393"/>
        <c:spPr>
          <a:solidFill>
            <a:schemeClr val="accent1"/>
          </a:solidFill>
          <a:ln w="19050">
            <a:solidFill>
              <a:schemeClr val="lt1"/>
            </a:solidFill>
          </a:ln>
          <a:effectLst/>
        </c:spPr>
      </c:pivotFmt>
      <c:pivotFmt>
        <c:idx val="2394"/>
        <c:spPr>
          <a:solidFill>
            <a:schemeClr val="accent1"/>
          </a:solidFill>
          <a:ln w="19050">
            <a:solidFill>
              <a:schemeClr val="lt1"/>
            </a:solidFill>
          </a:ln>
          <a:effectLst/>
        </c:spPr>
      </c:pivotFmt>
      <c:pivotFmt>
        <c:idx val="2395"/>
        <c:spPr>
          <a:solidFill>
            <a:schemeClr val="accent1"/>
          </a:solidFill>
          <a:ln w="19050">
            <a:solidFill>
              <a:schemeClr val="lt1"/>
            </a:solidFill>
          </a:ln>
          <a:effectLst/>
        </c:spPr>
      </c:pivotFmt>
      <c:pivotFmt>
        <c:idx val="2396"/>
        <c:spPr>
          <a:solidFill>
            <a:schemeClr val="accent1"/>
          </a:solidFill>
          <a:ln w="19050">
            <a:solidFill>
              <a:schemeClr val="lt1"/>
            </a:solidFill>
          </a:ln>
          <a:effectLst/>
        </c:spPr>
      </c:pivotFmt>
      <c:pivotFmt>
        <c:idx val="2397"/>
        <c:spPr>
          <a:solidFill>
            <a:schemeClr val="accent1"/>
          </a:solidFill>
          <a:ln w="19050">
            <a:solidFill>
              <a:schemeClr val="lt1"/>
            </a:solidFill>
          </a:ln>
          <a:effectLst/>
        </c:spPr>
      </c:pivotFmt>
      <c:pivotFmt>
        <c:idx val="2398"/>
        <c:spPr>
          <a:solidFill>
            <a:schemeClr val="accent1"/>
          </a:solidFill>
          <a:ln w="19050">
            <a:solidFill>
              <a:schemeClr val="lt1"/>
            </a:solidFill>
          </a:ln>
          <a:effectLst/>
        </c:spPr>
      </c:pivotFmt>
      <c:pivotFmt>
        <c:idx val="2399"/>
        <c:spPr>
          <a:solidFill>
            <a:schemeClr val="accent1"/>
          </a:solidFill>
          <a:ln w="19050">
            <a:solidFill>
              <a:schemeClr val="lt1"/>
            </a:solidFill>
          </a:ln>
          <a:effectLst/>
        </c:spPr>
      </c:pivotFmt>
      <c:pivotFmt>
        <c:idx val="2400"/>
        <c:spPr>
          <a:solidFill>
            <a:schemeClr val="accent1"/>
          </a:solidFill>
          <a:ln w="19050">
            <a:solidFill>
              <a:schemeClr val="lt1"/>
            </a:solidFill>
          </a:ln>
          <a:effectLst/>
        </c:spPr>
      </c:pivotFmt>
      <c:pivotFmt>
        <c:idx val="2401"/>
        <c:spPr>
          <a:solidFill>
            <a:schemeClr val="accent1"/>
          </a:solidFill>
          <a:ln w="19050">
            <a:solidFill>
              <a:schemeClr val="lt1"/>
            </a:solidFill>
          </a:ln>
          <a:effectLst/>
        </c:spPr>
      </c:pivotFmt>
      <c:pivotFmt>
        <c:idx val="2402"/>
        <c:spPr>
          <a:solidFill>
            <a:schemeClr val="accent1"/>
          </a:solidFill>
          <a:ln w="19050">
            <a:solidFill>
              <a:schemeClr val="lt1"/>
            </a:solidFill>
          </a:ln>
          <a:effectLst/>
        </c:spPr>
      </c:pivotFmt>
      <c:pivotFmt>
        <c:idx val="2403"/>
        <c:spPr>
          <a:solidFill>
            <a:schemeClr val="accent1"/>
          </a:solidFill>
          <a:ln w="19050">
            <a:solidFill>
              <a:schemeClr val="lt1"/>
            </a:solidFill>
          </a:ln>
          <a:effectLst/>
        </c:spPr>
      </c:pivotFmt>
      <c:pivotFmt>
        <c:idx val="2404"/>
        <c:spPr>
          <a:solidFill>
            <a:schemeClr val="accent1"/>
          </a:solidFill>
          <a:ln w="19050">
            <a:solidFill>
              <a:schemeClr val="lt1"/>
            </a:solidFill>
          </a:ln>
          <a:effectLst/>
        </c:spPr>
      </c:pivotFmt>
      <c:pivotFmt>
        <c:idx val="2405"/>
        <c:spPr>
          <a:solidFill>
            <a:schemeClr val="accent1"/>
          </a:solidFill>
          <a:ln w="19050">
            <a:solidFill>
              <a:schemeClr val="lt1"/>
            </a:solidFill>
          </a:ln>
          <a:effectLst/>
        </c:spPr>
      </c:pivotFmt>
      <c:pivotFmt>
        <c:idx val="2406"/>
        <c:spPr>
          <a:solidFill>
            <a:schemeClr val="accent1"/>
          </a:solidFill>
          <a:ln w="19050">
            <a:solidFill>
              <a:schemeClr val="lt1"/>
            </a:solidFill>
          </a:ln>
          <a:effectLst/>
        </c:spPr>
      </c:pivotFmt>
      <c:pivotFmt>
        <c:idx val="2407"/>
        <c:spPr>
          <a:solidFill>
            <a:schemeClr val="accent1"/>
          </a:solidFill>
          <a:ln w="19050">
            <a:solidFill>
              <a:schemeClr val="lt1"/>
            </a:solidFill>
          </a:ln>
          <a:effectLst/>
        </c:spPr>
      </c:pivotFmt>
      <c:pivotFmt>
        <c:idx val="2408"/>
        <c:spPr>
          <a:solidFill>
            <a:schemeClr val="accent1"/>
          </a:solidFill>
          <a:ln w="19050">
            <a:solidFill>
              <a:schemeClr val="lt1"/>
            </a:solidFill>
          </a:ln>
          <a:effectLst/>
        </c:spPr>
      </c:pivotFmt>
      <c:pivotFmt>
        <c:idx val="2409"/>
        <c:spPr>
          <a:solidFill>
            <a:schemeClr val="accent1"/>
          </a:solidFill>
          <a:ln w="19050">
            <a:solidFill>
              <a:schemeClr val="lt1"/>
            </a:solidFill>
          </a:ln>
          <a:effectLst/>
        </c:spPr>
      </c:pivotFmt>
      <c:pivotFmt>
        <c:idx val="2410"/>
        <c:spPr>
          <a:solidFill>
            <a:schemeClr val="accent1"/>
          </a:solidFill>
          <a:ln w="19050">
            <a:solidFill>
              <a:schemeClr val="lt1"/>
            </a:solidFill>
          </a:ln>
          <a:effectLst/>
        </c:spPr>
      </c:pivotFmt>
      <c:pivotFmt>
        <c:idx val="2411"/>
        <c:spPr>
          <a:solidFill>
            <a:schemeClr val="accent1"/>
          </a:solidFill>
          <a:ln w="19050">
            <a:solidFill>
              <a:schemeClr val="lt1"/>
            </a:solidFill>
          </a:ln>
          <a:effectLst/>
        </c:spPr>
      </c:pivotFmt>
      <c:pivotFmt>
        <c:idx val="24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3"/>
        <c:spPr>
          <a:solidFill>
            <a:schemeClr val="accent1"/>
          </a:solidFill>
          <a:ln w="19050">
            <a:solidFill>
              <a:schemeClr val="lt1"/>
            </a:solidFill>
          </a:ln>
          <a:effectLst/>
        </c:spPr>
      </c:pivotFmt>
      <c:pivotFmt>
        <c:idx val="2414"/>
        <c:spPr>
          <a:solidFill>
            <a:schemeClr val="accent1"/>
          </a:solidFill>
          <a:ln w="19050">
            <a:solidFill>
              <a:schemeClr val="lt1"/>
            </a:solidFill>
          </a:ln>
          <a:effectLst/>
        </c:spPr>
      </c:pivotFmt>
      <c:pivotFmt>
        <c:idx val="2415"/>
        <c:spPr>
          <a:solidFill>
            <a:schemeClr val="accent1"/>
          </a:solidFill>
          <a:ln w="19050">
            <a:solidFill>
              <a:schemeClr val="lt1"/>
            </a:solidFill>
          </a:ln>
          <a:effectLst/>
        </c:spPr>
      </c:pivotFmt>
      <c:pivotFmt>
        <c:idx val="2416"/>
        <c:spPr>
          <a:solidFill>
            <a:schemeClr val="accent1"/>
          </a:solidFill>
          <a:ln w="19050">
            <a:solidFill>
              <a:schemeClr val="lt1"/>
            </a:solidFill>
          </a:ln>
          <a:effectLst/>
        </c:spPr>
      </c:pivotFmt>
      <c:pivotFmt>
        <c:idx val="2417"/>
        <c:spPr>
          <a:solidFill>
            <a:schemeClr val="accent1"/>
          </a:solidFill>
          <a:ln w="19050">
            <a:solidFill>
              <a:schemeClr val="lt1"/>
            </a:solidFill>
          </a:ln>
          <a:effectLst/>
        </c:spPr>
      </c:pivotFmt>
      <c:pivotFmt>
        <c:idx val="2418"/>
        <c:spPr>
          <a:solidFill>
            <a:schemeClr val="accent1"/>
          </a:solidFill>
          <a:ln w="19050">
            <a:solidFill>
              <a:schemeClr val="lt1"/>
            </a:solidFill>
          </a:ln>
          <a:effectLst/>
        </c:spPr>
      </c:pivotFmt>
      <c:pivotFmt>
        <c:idx val="2419"/>
        <c:spPr>
          <a:solidFill>
            <a:schemeClr val="accent1"/>
          </a:solidFill>
          <a:ln w="19050">
            <a:solidFill>
              <a:schemeClr val="lt1"/>
            </a:solidFill>
          </a:ln>
          <a:effectLst/>
        </c:spPr>
      </c:pivotFmt>
      <c:pivotFmt>
        <c:idx val="2420"/>
        <c:spPr>
          <a:solidFill>
            <a:schemeClr val="accent1"/>
          </a:solidFill>
          <a:ln w="19050">
            <a:solidFill>
              <a:schemeClr val="lt1"/>
            </a:solidFill>
          </a:ln>
          <a:effectLst/>
        </c:spPr>
      </c:pivotFmt>
      <c:pivotFmt>
        <c:idx val="2421"/>
        <c:spPr>
          <a:solidFill>
            <a:schemeClr val="accent1"/>
          </a:solidFill>
          <a:ln w="19050">
            <a:solidFill>
              <a:schemeClr val="lt1"/>
            </a:solidFill>
          </a:ln>
          <a:effectLst/>
        </c:spPr>
      </c:pivotFmt>
      <c:pivotFmt>
        <c:idx val="2422"/>
        <c:spPr>
          <a:solidFill>
            <a:schemeClr val="accent1"/>
          </a:solidFill>
          <a:ln w="19050">
            <a:solidFill>
              <a:schemeClr val="lt1"/>
            </a:solidFill>
          </a:ln>
          <a:effectLst/>
        </c:spPr>
      </c:pivotFmt>
      <c:pivotFmt>
        <c:idx val="2423"/>
        <c:spPr>
          <a:solidFill>
            <a:schemeClr val="accent1"/>
          </a:solidFill>
          <a:ln w="19050">
            <a:solidFill>
              <a:schemeClr val="lt1"/>
            </a:solidFill>
          </a:ln>
          <a:effectLst/>
        </c:spPr>
      </c:pivotFmt>
      <c:pivotFmt>
        <c:idx val="2424"/>
        <c:spPr>
          <a:solidFill>
            <a:schemeClr val="accent1"/>
          </a:solidFill>
          <a:ln w="19050">
            <a:solidFill>
              <a:schemeClr val="lt1"/>
            </a:solidFill>
          </a:ln>
          <a:effectLst/>
        </c:spPr>
      </c:pivotFmt>
      <c:pivotFmt>
        <c:idx val="2425"/>
        <c:spPr>
          <a:solidFill>
            <a:schemeClr val="accent1"/>
          </a:solidFill>
          <a:ln w="19050">
            <a:solidFill>
              <a:schemeClr val="lt1"/>
            </a:solidFill>
          </a:ln>
          <a:effectLst/>
        </c:spPr>
      </c:pivotFmt>
      <c:pivotFmt>
        <c:idx val="2426"/>
        <c:spPr>
          <a:solidFill>
            <a:schemeClr val="accent1"/>
          </a:solidFill>
          <a:ln w="19050">
            <a:solidFill>
              <a:schemeClr val="lt1"/>
            </a:solidFill>
          </a:ln>
          <a:effectLst/>
        </c:spPr>
      </c:pivotFmt>
      <c:pivotFmt>
        <c:idx val="2427"/>
        <c:spPr>
          <a:solidFill>
            <a:schemeClr val="accent1"/>
          </a:solidFill>
          <a:ln w="19050">
            <a:solidFill>
              <a:schemeClr val="lt1"/>
            </a:solidFill>
          </a:ln>
          <a:effectLst/>
        </c:spPr>
      </c:pivotFmt>
      <c:pivotFmt>
        <c:idx val="2428"/>
        <c:spPr>
          <a:solidFill>
            <a:schemeClr val="accent1"/>
          </a:solidFill>
          <a:ln w="19050">
            <a:solidFill>
              <a:schemeClr val="lt1"/>
            </a:solidFill>
          </a:ln>
          <a:effectLst/>
        </c:spPr>
      </c:pivotFmt>
      <c:pivotFmt>
        <c:idx val="2429"/>
        <c:spPr>
          <a:solidFill>
            <a:schemeClr val="accent1"/>
          </a:solidFill>
          <a:ln w="19050">
            <a:solidFill>
              <a:schemeClr val="lt1"/>
            </a:solidFill>
          </a:ln>
          <a:effectLst/>
        </c:spPr>
      </c:pivotFmt>
      <c:pivotFmt>
        <c:idx val="2430"/>
        <c:spPr>
          <a:solidFill>
            <a:schemeClr val="accent1"/>
          </a:solidFill>
          <a:ln w="19050">
            <a:solidFill>
              <a:schemeClr val="lt1"/>
            </a:solidFill>
          </a:ln>
          <a:effectLst/>
        </c:spPr>
      </c:pivotFmt>
      <c:pivotFmt>
        <c:idx val="2431"/>
        <c:spPr>
          <a:solidFill>
            <a:schemeClr val="accent1"/>
          </a:solidFill>
          <a:ln w="19050">
            <a:solidFill>
              <a:schemeClr val="lt1"/>
            </a:solidFill>
          </a:ln>
          <a:effectLst/>
        </c:spPr>
      </c:pivotFmt>
      <c:pivotFmt>
        <c:idx val="2432"/>
        <c:spPr>
          <a:solidFill>
            <a:schemeClr val="accent1"/>
          </a:solidFill>
          <a:ln w="19050">
            <a:solidFill>
              <a:schemeClr val="lt1"/>
            </a:solidFill>
          </a:ln>
          <a:effectLst/>
        </c:spPr>
      </c:pivotFmt>
      <c:pivotFmt>
        <c:idx val="2433"/>
        <c:spPr>
          <a:solidFill>
            <a:schemeClr val="accent1"/>
          </a:solidFill>
          <a:ln w="19050">
            <a:solidFill>
              <a:schemeClr val="lt1"/>
            </a:solidFill>
          </a:ln>
          <a:effectLst/>
        </c:spPr>
      </c:pivotFmt>
      <c:pivotFmt>
        <c:idx val="2434"/>
        <c:spPr>
          <a:solidFill>
            <a:schemeClr val="accent1"/>
          </a:solidFill>
          <a:ln w="19050">
            <a:solidFill>
              <a:schemeClr val="lt1"/>
            </a:solidFill>
          </a:ln>
          <a:effectLst/>
        </c:spPr>
      </c:pivotFmt>
      <c:pivotFmt>
        <c:idx val="2435"/>
        <c:spPr>
          <a:solidFill>
            <a:schemeClr val="accent1"/>
          </a:solidFill>
          <a:ln w="19050">
            <a:solidFill>
              <a:schemeClr val="lt1"/>
            </a:solidFill>
          </a:ln>
          <a:effectLst/>
        </c:spPr>
      </c:pivotFmt>
      <c:pivotFmt>
        <c:idx val="2436"/>
        <c:spPr>
          <a:solidFill>
            <a:schemeClr val="accent1"/>
          </a:solidFill>
          <a:ln w="19050">
            <a:solidFill>
              <a:schemeClr val="lt1"/>
            </a:solidFill>
          </a:ln>
          <a:effectLst/>
        </c:spPr>
      </c:pivotFmt>
      <c:pivotFmt>
        <c:idx val="2437"/>
        <c:spPr>
          <a:solidFill>
            <a:schemeClr val="accent1"/>
          </a:solidFill>
          <a:ln w="19050">
            <a:solidFill>
              <a:schemeClr val="lt1"/>
            </a:solidFill>
          </a:ln>
          <a:effectLst/>
        </c:spPr>
      </c:pivotFmt>
      <c:pivotFmt>
        <c:idx val="2438"/>
        <c:spPr>
          <a:solidFill>
            <a:schemeClr val="accent1"/>
          </a:solidFill>
          <a:ln w="19050">
            <a:solidFill>
              <a:schemeClr val="lt1"/>
            </a:solidFill>
          </a:ln>
          <a:effectLst/>
        </c:spPr>
      </c:pivotFmt>
      <c:pivotFmt>
        <c:idx val="24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0"/>
        <c:spPr>
          <a:solidFill>
            <a:schemeClr val="accent1"/>
          </a:solidFill>
          <a:ln w="19050">
            <a:solidFill>
              <a:schemeClr val="lt1"/>
            </a:solidFill>
          </a:ln>
          <a:effectLst/>
        </c:spPr>
      </c:pivotFmt>
      <c:pivotFmt>
        <c:idx val="2441"/>
        <c:spPr>
          <a:solidFill>
            <a:schemeClr val="accent1"/>
          </a:solidFill>
          <a:ln w="19050">
            <a:solidFill>
              <a:schemeClr val="lt1"/>
            </a:solidFill>
          </a:ln>
          <a:effectLst/>
        </c:spPr>
      </c:pivotFmt>
      <c:pivotFmt>
        <c:idx val="2442"/>
        <c:spPr>
          <a:solidFill>
            <a:schemeClr val="accent1"/>
          </a:solidFill>
          <a:ln w="19050">
            <a:solidFill>
              <a:schemeClr val="lt1"/>
            </a:solidFill>
          </a:ln>
          <a:effectLst/>
        </c:spPr>
      </c:pivotFmt>
      <c:pivotFmt>
        <c:idx val="2443"/>
        <c:spPr>
          <a:solidFill>
            <a:schemeClr val="accent1"/>
          </a:solidFill>
          <a:ln w="19050">
            <a:solidFill>
              <a:schemeClr val="lt1"/>
            </a:solidFill>
          </a:ln>
          <a:effectLst/>
        </c:spPr>
      </c:pivotFmt>
      <c:pivotFmt>
        <c:idx val="2444"/>
        <c:spPr>
          <a:solidFill>
            <a:schemeClr val="accent1"/>
          </a:solidFill>
          <a:ln w="19050">
            <a:solidFill>
              <a:schemeClr val="lt1"/>
            </a:solidFill>
          </a:ln>
          <a:effectLst/>
        </c:spPr>
      </c:pivotFmt>
      <c:pivotFmt>
        <c:idx val="2445"/>
        <c:spPr>
          <a:solidFill>
            <a:schemeClr val="accent1"/>
          </a:solidFill>
          <a:ln w="19050">
            <a:solidFill>
              <a:schemeClr val="lt1"/>
            </a:solidFill>
          </a:ln>
          <a:effectLst/>
        </c:spPr>
      </c:pivotFmt>
      <c:pivotFmt>
        <c:idx val="2446"/>
        <c:spPr>
          <a:solidFill>
            <a:schemeClr val="accent1"/>
          </a:solidFill>
          <a:ln w="19050">
            <a:solidFill>
              <a:schemeClr val="lt1"/>
            </a:solidFill>
          </a:ln>
          <a:effectLst/>
        </c:spPr>
      </c:pivotFmt>
      <c:pivotFmt>
        <c:idx val="2447"/>
        <c:spPr>
          <a:solidFill>
            <a:schemeClr val="accent1"/>
          </a:solidFill>
          <a:ln w="19050">
            <a:solidFill>
              <a:schemeClr val="lt1"/>
            </a:solidFill>
          </a:ln>
          <a:effectLst/>
        </c:spPr>
      </c:pivotFmt>
      <c:pivotFmt>
        <c:idx val="2448"/>
        <c:spPr>
          <a:solidFill>
            <a:schemeClr val="accent1"/>
          </a:solidFill>
          <a:ln w="19050">
            <a:solidFill>
              <a:schemeClr val="lt1"/>
            </a:solidFill>
          </a:ln>
          <a:effectLst/>
        </c:spPr>
      </c:pivotFmt>
      <c:pivotFmt>
        <c:idx val="2449"/>
        <c:spPr>
          <a:solidFill>
            <a:schemeClr val="accent1"/>
          </a:solidFill>
          <a:ln w="19050">
            <a:solidFill>
              <a:schemeClr val="lt1"/>
            </a:solidFill>
          </a:ln>
          <a:effectLst/>
        </c:spPr>
      </c:pivotFmt>
      <c:pivotFmt>
        <c:idx val="2450"/>
        <c:spPr>
          <a:solidFill>
            <a:schemeClr val="accent1"/>
          </a:solidFill>
          <a:ln w="19050">
            <a:solidFill>
              <a:schemeClr val="lt1"/>
            </a:solidFill>
          </a:ln>
          <a:effectLst/>
        </c:spPr>
      </c:pivotFmt>
      <c:pivotFmt>
        <c:idx val="2451"/>
        <c:spPr>
          <a:solidFill>
            <a:schemeClr val="accent1"/>
          </a:solidFill>
          <a:ln w="19050">
            <a:solidFill>
              <a:schemeClr val="lt1"/>
            </a:solidFill>
          </a:ln>
          <a:effectLst/>
        </c:spPr>
      </c:pivotFmt>
      <c:pivotFmt>
        <c:idx val="2452"/>
        <c:spPr>
          <a:solidFill>
            <a:schemeClr val="accent1"/>
          </a:solidFill>
          <a:ln w="19050">
            <a:solidFill>
              <a:schemeClr val="lt1"/>
            </a:solidFill>
          </a:ln>
          <a:effectLst/>
        </c:spPr>
      </c:pivotFmt>
      <c:pivotFmt>
        <c:idx val="2453"/>
        <c:spPr>
          <a:solidFill>
            <a:schemeClr val="accent1"/>
          </a:solidFill>
          <a:ln w="19050">
            <a:solidFill>
              <a:schemeClr val="lt1"/>
            </a:solidFill>
          </a:ln>
          <a:effectLst/>
        </c:spPr>
      </c:pivotFmt>
      <c:pivotFmt>
        <c:idx val="2454"/>
        <c:spPr>
          <a:solidFill>
            <a:schemeClr val="accent1"/>
          </a:solidFill>
          <a:ln w="19050">
            <a:solidFill>
              <a:schemeClr val="lt1"/>
            </a:solidFill>
          </a:ln>
          <a:effectLst/>
        </c:spPr>
      </c:pivotFmt>
      <c:pivotFmt>
        <c:idx val="2455"/>
        <c:spPr>
          <a:solidFill>
            <a:schemeClr val="accent1"/>
          </a:solidFill>
          <a:ln w="19050">
            <a:solidFill>
              <a:schemeClr val="lt1"/>
            </a:solidFill>
          </a:ln>
          <a:effectLst/>
        </c:spPr>
      </c:pivotFmt>
      <c:pivotFmt>
        <c:idx val="2456"/>
        <c:spPr>
          <a:solidFill>
            <a:schemeClr val="accent1"/>
          </a:solidFill>
          <a:ln w="19050">
            <a:solidFill>
              <a:schemeClr val="lt1"/>
            </a:solidFill>
          </a:ln>
          <a:effectLst/>
        </c:spPr>
      </c:pivotFmt>
      <c:pivotFmt>
        <c:idx val="2457"/>
        <c:spPr>
          <a:solidFill>
            <a:schemeClr val="accent1"/>
          </a:solidFill>
          <a:ln w="19050">
            <a:solidFill>
              <a:schemeClr val="lt1"/>
            </a:solidFill>
          </a:ln>
          <a:effectLst/>
        </c:spPr>
      </c:pivotFmt>
      <c:pivotFmt>
        <c:idx val="2458"/>
        <c:spPr>
          <a:solidFill>
            <a:schemeClr val="accent1"/>
          </a:solidFill>
          <a:ln w="19050">
            <a:solidFill>
              <a:schemeClr val="lt1"/>
            </a:solidFill>
          </a:ln>
          <a:effectLst/>
        </c:spPr>
      </c:pivotFmt>
      <c:pivotFmt>
        <c:idx val="2459"/>
        <c:spPr>
          <a:solidFill>
            <a:schemeClr val="accent1"/>
          </a:solidFill>
          <a:ln w="19050">
            <a:solidFill>
              <a:schemeClr val="lt1"/>
            </a:solidFill>
          </a:ln>
          <a:effectLst/>
        </c:spPr>
      </c:pivotFmt>
      <c:pivotFmt>
        <c:idx val="2460"/>
        <c:spPr>
          <a:solidFill>
            <a:schemeClr val="accent1"/>
          </a:solidFill>
          <a:ln w="19050">
            <a:solidFill>
              <a:schemeClr val="lt1"/>
            </a:solidFill>
          </a:ln>
          <a:effectLst/>
        </c:spPr>
      </c:pivotFmt>
      <c:pivotFmt>
        <c:idx val="2461"/>
        <c:spPr>
          <a:solidFill>
            <a:schemeClr val="accent1"/>
          </a:solidFill>
          <a:ln w="19050">
            <a:solidFill>
              <a:schemeClr val="lt1"/>
            </a:solidFill>
          </a:ln>
          <a:effectLst/>
        </c:spPr>
      </c:pivotFmt>
      <c:pivotFmt>
        <c:idx val="2462"/>
        <c:spPr>
          <a:solidFill>
            <a:schemeClr val="accent1"/>
          </a:solidFill>
          <a:ln w="19050">
            <a:solidFill>
              <a:schemeClr val="lt1"/>
            </a:solidFill>
          </a:ln>
          <a:effectLst/>
        </c:spPr>
      </c:pivotFmt>
      <c:pivotFmt>
        <c:idx val="2463"/>
        <c:spPr>
          <a:solidFill>
            <a:schemeClr val="accent1"/>
          </a:solidFill>
          <a:ln w="19050">
            <a:solidFill>
              <a:schemeClr val="lt1"/>
            </a:solidFill>
          </a:ln>
          <a:effectLst/>
        </c:spPr>
      </c:pivotFmt>
      <c:pivotFmt>
        <c:idx val="2464"/>
        <c:spPr>
          <a:solidFill>
            <a:schemeClr val="accent1"/>
          </a:solidFill>
          <a:ln w="19050">
            <a:solidFill>
              <a:schemeClr val="lt1"/>
            </a:solidFill>
          </a:ln>
          <a:effectLst/>
        </c:spPr>
      </c:pivotFmt>
      <c:pivotFmt>
        <c:idx val="2465"/>
        <c:spPr>
          <a:solidFill>
            <a:schemeClr val="accent1"/>
          </a:solidFill>
          <a:ln w="19050">
            <a:solidFill>
              <a:schemeClr val="lt1"/>
            </a:solidFill>
          </a:ln>
          <a:effectLst/>
        </c:spPr>
      </c:pivotFmt>
      <c:pivotFmt>
        <c:idx val="24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7"/>
        <c:spPr>
          <a:solidFill>
            <a:schemeClr val="accent1"/>
          </a:solidFill>
          <a:ln w="19050">
            <a:solidFill>
              <a:schemeClr val="lt1"/>
            </a:solidFill>
          </a:ln>
          <a:effectLst/>
        </c:spPr>
      </c:pivotFmt>
      <c:pivotFmt>
        <c:idx val="2468"/>
        <c:spPr>
          <a:solidFill>
            <a:schemeClr val="accent1"/>
          </a:solidFill>
          <a:ln w="19050">
            <a:solidFill>
              <a:schemeClr val="lt1"/>
            </a:solidFill>
          </a:ln>
          <a:effectLst/>
        </c:spPr>
      </c:pivotFmt>
      <c:pivotFmt>
        <c:idx val="2469"/>
        <c:spPr>
          <a:solidFill>
            <a:schemeClr val="accent1"/>
          </a:solidFill>
          <a:ln w="19050">
            <a:solidFill>
              <a:schemeClr val="lt1"/>
            </a:solidFill>
          </a:ln>
          <a:effectLst/>
        </c:spPr>
      </c:pivotFmt>
      <c:pivotFmt>
        <c:idx val="2470"/>
        <c:spPr>
          <a:solidFill>
            <a:schemeClr val="accent1"/>
          </a:solidFill>
          <a:ln w="19050">
            <a:solidFill>
              <a:schemeClr val="lt1"/>
            </a:solidFill>
          </a:ln>
          <a:effectLst/>
        </c:spPr>
      </c:pivotFmt>
      <c:pivotFmt>
        <c:idx val="2471"/>
        <c:spPr>
          <a:solidFill>
            <a:schemeClr val="accent1"/>
          </a:solidFill>
          <a:ln w="19050">
            <a:solidFill>
              <a:schemeClr val="lt1"/>
            </a:solidFill>
          </a:ln>
          <a:effectLst/>
        </c:spPr>
      </c:pivotFmt>
      <c:pivotFmt>
        <c:idx val="2472"/>
        <c:spPr>
          <a:solidFill>
            <a:schemeClr val="accent1"/>
          </a:solidFill>
          <a:ln w="19050">
            <a:solidFill>
              <a:schemeClr val="lt1"/>
            </a:solidFill>
          </a:ln>
          <a:effectLst/>
        </c:spPr>
      </c:pivotFmt>
      <c:pivotFmt>
        <c:idx val="2473"/>
        <c:spPr>
          <a:solidFill>
            <a:schemeClr val="accent1"/>
          </a:solidFill>
          <a:ln w="19050">
            <a:solidFill>
              <a:schemeClr val="lt1"/>
            </a:solidFill>
          </a:ln>
          <a:effectLst/>
        </c:spPr>
      </c:pivotFmt>
      <c:pivotFmt>
        <c:idx val="2474"/>
        <c:spPr>
          <a:solidFill>
            <a:schemeClr val="accent1"/>
          </a:solidFill>
          <a:ln w="19050">
            <a:solidFill>
              <a:schemeClr val="lt1"/>
            </a:solidFill>
          </a:ln>
          <a:effectLst/>
        </c:spPr>
      </c:pivotFmt>
      <c:pivotFmt>
        <c:idx val="2475"/>
        <c:spPr>
          <a:solidFill>
            <a:schemeClr val="accent1"/>
          </a:solidFill>
          <a:ln w="19050">
            <a:solidFill>
              <a:schemeClr val="lt1"/>
            </a:solidFill>
          </a:ln>
          <a:effectLst/>
        </c:spPr>
      </c:pivotFmt>
      <c:pivotFmt>
        <c:idx val="2476"/>
        <c:spPr>
          <a:solidFill>
            <a:schemeClr val="accent1"/>
          </a:solidFill>
          <a:ln w="19050">
            <a:solidFill>
              <a:schemeClr val="lt1"/>
            </a:solidFill>
          </a:ln>
          <a:effectLst/>
        </c:spPr>
      </c:pivotFmt>
      <c:pivotFmt>
        <c:idx val="2477"/>
        <c:spPr>
          <a:solidFill>
            <a:schemeClr val="accent1"/>
          </a:solidFill>
          <a:ln w="19050">
            <a:solidFill>
              <a:schemeClr val="lt1"/>
            </a:solidFill>
          </a:ln>
          <a:effectLst/>
        </c:spPr>
      </c:pivotFmt>
      <c:pivotFmt>
        <c:idx val="2478"/>
        <c:spPr>
          <a:solidFill>
            <a:schemeClr val="accent1"/>
          </a:solidFill>
          <a:ln w="19050">
            <a:solidFill>
              <a:schemeClr val="lt1"/>
            </a:solidFill>
          </a:ln>
          <a:effectLst/>
        </c:spPr>
      </c:pivotFmt>
      <c:pivotFmt>
        <c:idx val="2479"/>
        <c:spPr>
          <a:solidFill>
            <a:schemeClr val="accent1"/>
          </a:solidFill>
          <a:ln w="19050">
            <a:solidFill>
              <a:schemeClr val="lt1"/>
            </a:solidFill>
          </a:ln>
          <a:effectLst/>
        </c:spPr>
      </c:pivotFmt>
      <c:pivotFmt>
        <c:idx val="2480"/>
        <c:spPr>
          <a:solidFill>
            <a:schemeClr val="accent1"/>
          </a:solidFill>
          <a:ln w="19050">
            <a:solidFill>
              <a:schemeClr val="lt1"/>
            </a:solidFill>
          </a:ln>
          <a:effectLst/>
        </c:spPr>
      </c:pivotFmt>
      <c:pivotFmt>
        <c:idx val="2481"/>
        <c:spPr>
          <a:solidFill>
            <a:schemeClr val="accent1"/>
          </a:solidFill>
          <a:ln w="19050">
            <a:solidFill>
              <a:schemeClr val="lt1"/>
            </a:solidFill>
          </a:ln>
          <a:effectLst/>
        </c:spPr>
      </c:pivotFmt>
      <c:pivotFmt>
        <c:idx val="2482"/>
        <c:spPr>
          <a:solidFill>
            <a:schemeClr val="accent1"/>
          </a:solidFill>
          <a:ln w="19050">
            <a:solidFill>
              <a:schemeClr val="lt1"/>
            </a:solidFill>
          </a:ln>
          <a:effectLst/>
        </c:spPr>
      </c:pivotFmt>
      <c:pivotFmt>
        <c:idx val="2483"/>
        <c:spPr>
          <a:solidFill>
            <a:schemeClr val="accent1"/>
          </a:solidFill>
          <a:ln w="19050">
            <a:solidFill>
              <a:schemeClr val="lt1"/>
            </a:solidFill>
          </a:ln>
          <a:effectLst/>
        </c:spPr>
      </c:pivotFmt>
      <c:pivotFmt>
        <c:idx val="2484"/>
        <c:spPr>
          <a:solidFill>
            <a:schemeClr val="accent1"/>
          </a:solidFill>
          <a:ln w="19050">
            <a:solidFill>
              <a:schemeClr val="lt1"/>
            </a:solidFill>
          </a:ln>
          <a:effectLst/>
        </c:spPr>
      </c:pivotFmt>
      <c:pivotFmt>
        <c:idx val="2485"/>
        <c:spPr>
          <a:solidFill>
            <a:schemeClr val="accent1"/>
          </a:solidFill>
          <a:ln w="19050">
            <a:solidFill>
              <a:schemeClr val="lt1"/>
            </a:solidFill>
          </a:ln>
          <a:effectLst/>
        </c:spPr>
      </c:pivotFmt>
      <c:pivotFmt>
        <c:idx val="2486"/>
        <c:spPr>
          <a:solidFill>
            <a:schemeClr val="accent1"/>
          </a:solidFill>
          <a:ln w="19050">
            <a:solidFill>
              <a:schemeClr val="lt1"/>
            </a:solidFill>
          </a:ln>
          <a:effectLst/>
        </c:spPr>
      </c:pivotFmt>
      <c:pivotFmt>
        <c:idx val="2487"/>
        <c:spPr>
          <a:solidFill>
            <a:schemeClr val="accent1"/>
          </a:solidFill>
          <a:ln w="19050">
            <a:solidFill>
              <a:schemeClr val="lt1"/>
            </a:solidFill>
          </a:ln>
          <a:effectLst/>
        </c:spPr>
      </c:pivotFmt>
      <c:pivotFmt>
        <c:idx val="2488"/>
        <c:spPr>
          <a:solidFill>
            <a:schemeClr val="accent1"/>
          </a:solidFill>
          <a:ln w="19050">
            <a:solidFill>
              <a:schemeClr val="lt1"/>
            </a:solidFill>
          </a:ln>
          <a:effectLst/>
        </c:spPr>
      </c:pivotFmt>
      <c:pivotFmt>
        <c:idx val="2489"/>
        <c:spPr>
          <a:solidFill>
            <a:schemeClr val="accent1"/>
          </a:solidFill>
          <a:ln w="19050">
            <a:solidFill>
              <a:schemeClr val="lt1"/>
            </a:solidFill>
          </a:ln>
          <a:effectLst/>
        </c:spPr>
      </c:pivotFmt>
      <c:pivotFmt>
        <c:idx val="2490"/>
        <c:spPr>
          <a:solidFill>
            <a:schemeClr val="accent1"/>
          </a:solidFill>
          <a:ln w="19050">
            <a:solidFill>
              <a:schemeClr val="lt1"/>
            </a:solidFill>
          </a:ln>
          <a:effectLst/>
        </c:spPr>
      </c:pivotFmt>
      <c:pivotFmt>
        <c:idx val="2491"/>
        <c:spPr>
          <a:solidFill>
            <a:schemeClr val="accent1"/>
          </a:solidFill>
          <a:ln w="19050">
            <a:solidFill>
              <a:schemeClr val="lt1"/>
            </a:solidFill>
          </a:ln>
          <a:effectLst/>
        </c:spPr>
      </c:pivotFmt>
      <c:pivotFmt>
        <c:idx val="2492"/>
        <c:spPr>
          <a:solidFill>
            <a:schemeClr val="accent1"/>
          </a:solidFill>
          <a:ln w="19050">
            <a:solidFill>
              <a:schemeClr val="lt1"/>
            </a:solidFill>
          </a:ln>
          <a:effectLst/>
        </c:spPr>
      </c:pivotFmt>
      <c:pivotFmt>
        <c:idx val="24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4"/>
        <c:spPr>
          <a:solidFill>
            <a:schemeClr val="accent1"/>
          </a:solidFill>
          <a:ln w="19050">
            <a:solidFill>
              <a:schemeClr val="lt1"/>
            </a:solidFill>
          </a:ln>
          <a:effectLst/>
        </c:spPr>
      </c:pivotFmt>
      <c:pivotFmt>
        <c:idx val="2495"/>
        <c:spPr>
          <a:solidFill>
            <a:schemeClr val="accent1"/>
          </a:solidFill>
          <a:ln w="19050">
            <a:solidFill>
              <a:schemeClr val="lt1"/>
            </a:solidFill>
          </a:ln>
          <a:effectLst/>
        </c:spPr>
      </c:pivotFmt>
      <c:pivotFmt>
        <c:idx val="2496"/>
        <c:spPr>
          <a:solidFill>
            <a:schemeClr val="accent1"/>
          </a:solidFill>
          <a:ln w="19050">
            <a:solidFill>
              <a:schemeClr val="lt1"/>
            </a:solidFill>
          </a:ln>
          <a:effectLst/>
        </c:spPr>
      </c:pivotFmt>
      <c:pivotFmt>
        <c:idx val="2497"/>
        <c:spPr>
          <a:solidFill>
            <a:schemeClr val="accent1"/>
          </a:solidFill>
          <a:ln w="19050">
            <a:solidFill>
              <a:schemeClr val="lt1"/>
            </a:solidFill>
          </a:ln>
          <a:effectLst/>
        </c:spPr>
      </c:pivotFmt>
      <c:pivotFmt>
        <c:idx val="2498"/>
        <c:spPr>
          <a:solidFill>
            <a:schemeClr val="accent1"/>
          </a:solidFill>
          <a:ln w="19050">
            <a:solidFill>
              <a:schemeClr val="lt1"/>
            </a:solidFill>
          </a:ln>
          <a:effectLst/>
        </c:spPr>
      </c:pivotFmt>
      <c:pivotFmt>
        <c:idx val="2499"/>
        <c:spPr>
          <a:solidFill>
            <a:schemeClr val="accent1"/>
          </a:solidFill>
          <a:ln w="19050">
            <a:solidFill>
              <a:schemeClr val="lt1"/>
            </a:solidFill>
          </a:ln>
          <a:effectLst/>
        </c:spPr>
      </c:pivotFmt>
      <c:pivotFmt>
        <c:idx val="2500"/>
        <c:spPr>
          <a:solidFill>
            <a:schemeClr val="accent1"/>
          </a:solidFill>
          <a:ln w="19050">
            <a:solidFill>
              <a:schemeClr val="lt1"/>
            </a:solidFill>
          </a:ln>
          <a:effectLst/>
        </c:spPr>
      </c:pivotFmt>
      <c:pivotFmt>
        <c:idx val="2501"/>
        <c:spPr>
          <a:solidFill>
            <a:schemeClr val="accent1"/>
          </a:solidFill>
          <a:ln w="19050">
            <a:solidFill>
              <a:schemeClr val="lt1"/>
            </a:solidFill>
          </a:ln>
          <a:effectLst/>
        </c:spPr>
      </c:pivotFmt>
      <c:pivotFmt>
        <c:idx val="2502"/>
        <c:spPr>
          <a:solidFill>
            <a:schemeClr val="accent1"/>
          </a:solidFill>
          <a:ln w="19050">
            <a:solidFill>
              <a:schemeClr val="lt1"/>
            </a:solidFill>
          </a:ln>
          <a:effectLst/>
        </c:spPr>
      </c:pivotFmt>
      <c:pivotFmt>
        <c:idx val="2503"/>
        <c:spPr>
          <a:solidFill>
            <a:schemeClr val="accent1"/>
          </a:solidFill>
          <a:ln w="19050">
            <a:solidFill>
              <a:schemeClr val="lt1"/>
            </a:solidFill>
          </a:ln>
          <a:effectLst/>
        </c:spPr>
      </c:pivotFmt>
      <c:pivotFmt>
        <c:idx val="2504"/>
        <c:spPr>
          <a:solidFill>
            <a:schemeClr val="accent1"/>
          </a:solidFill>
          <a:ln w="19050">
            <a:solidFill>
              <a:schemeClr val="lt1"/>
            </a:solidFill>
          </a:ln>
          <a:effectLst/>
        </c:spPr>
      </c:pivotFmt>
      <c:pivotFmt>
        <c:idx val="2505"/>
        <c:spPr>
          <a:solidFill>
            <a:schemeClr val="accent1"/>
          </a:solidFill>
          <a:ln w="19050">
            <a:solidFill>
              <a:schemeClr val="lt1"/>
            </a:solidFill>
          </a:ln>
          <a:effectLst/>
        </c:spPr>
      </c:pivotFmt>
      <c:pivotFmt>
        <c:idx val="2506"/>
        <c:spPr>
          <a:solidFill>
            <a:schemeClr val="accent1"/>
          </a:solidFill>
          <a:ln w="19050">
            <a:solidFill>
              <a:schemeClr val="lt1"/>
            </a:solidFill>
          </a:ln>
          <a:effectLst/>
        </c:spPr>
      </c:pivotFmt>
      <c:pivotFmt>
        <c:idx val="2507"/>
        <c:spPr>
          <a:solidFill>
            <a:schemeClr val="accent1"/>
          </a:solidFill>
          <a:ln w="19050">
            <a:solidFill>
              <a:schemeClr val="lt1"/>
            </a:solidFill>
          </a:ln>
          <a:effectLst/>
        </c:spPr>
      </c:pivotFmt>
      <c:pivotFmt>
        <c:idx val="2508"/>
        <c:spPr>
          <a:solidFill>
            <a:schemeClr val="accent1"/>
          </a:solidFill>
          <a:ln w="19050">
            <a:solidFill>
              <a:schemeClr val="lt1"/>
            </a:solidFill>
          </a:ln>
          <a:effectLst/>
        </c:spPr>
      </c:pivotFmt>
      <c:pivotFmt>
        <c:idx val="2509"/>
        <c:spPr>
          <a:solidFill>
            <a:schemeClr val="accent1"/>
          </a:solidFill>
          <a:ln w="19050">
            <a:solidFill>
              <a:schemeClr val="lt1"/>
            </a:solidFill>
          </a:ln>
          <a:effectLst/>
        </c:spPr>
      </c:pivotFmt>
      <c:pivotFmt>
        <c:idx val="2510"/>
        <c:spPr>
          <a:solidFill>
            <a:schemeClr val="accent1"/>
          </a:solidFill>
          <a:ln w="19050">
            <a:solidFill>
              <a:schemeClr val="lt1"/>
            </a:solidFill>
          </a:ln>
          <a:effectLst/>
        </c:spPr>
      </c:pivotFmt>
      <c:pivotFmt>
        <c:idx val="2511"/>
        <c:spPr>
          <a:solidFill>
            <a:schemeClr val="accent1"/>
          </a:solidFill>
          <a:ln w="19050">
            <a:solidFill>
              <a:schemeClr val="lt1"/>
            </a:solidFill>
          </a:ln>
          <a:effectLst/>
        </c:spPr>
      </c:pivotFmt>
      <c:pivotFmt>
        <c:idx val="2512"/>
        <c:spPr>
          <a:solidFill>
            <a:schemeClr val="accent1"/>
          </a:solidFill>
          <a:ln w="19050">
            <a:solidFill>
              <a:schemeClr val="lt1"/>
            </a:solidFill>
          </a:ln>
          <a:effectLst/>
        </c:spPr>
      </c:pivotFmt>
      <c:pivotFmt>
        <c:idx val="2513"/>
        <c:spPr>
          <a:solidFill>
            <a:schemeClr val="accent1"/>
          </a:solidFill>
          <a:ln w="19050">
            <a:solidFill>
              <a:schemeClr val="lt1"/>
            </a:solidFill>
          </a:ln>
          <a:effectLst/>
        </c:spPr>
      </c:pivotFmt>
      <c:pivotFmt>
        <c:idx val="2514"/>
        <c:spPr>
          <a:solidFill>
            <a:schemeClr val="accent1"/>
          </a:solidFill>
          <a:ln w="19050">
            <a:solidFill>
              <a:schemeClr val="lt1"/>
            </a:solidFill>
          </a:ln>
          <a:effectLst/>
        </c:spPr>
      </c:pivotFmt>
      <c:pivotFmt>
        <c:idx val="2515"/>
        <c:spPr>
          <a:solidFill>
            <a:schemeClr val="accent1"/>
          </a:solidFill>
          <a:ln w="19050">
            <a:solidFill>
              <a:schemeClr val="lt1"/>
            </a:solidFill>
          </a:ln>
          <a:effectLst/>
        </c:spPr>
      </c:pivotFmt>
      <c:pivotFmt>
        <c:idx val="2516"/>
        <c:spPr>
          <a:solidFill>
            <a:schemeClr val="accent1"/>
          </a:solidFill>
          <a:ln w="19050">
            <a:solidFill>
              <a:schemeClr val="lt1"/>
            </a:solidFill>
          </a:ln>
          <a:effectLst/>
        </c:spPr>
      </c:pivotFmt>
      <c:pivotFmt>
        <c:idx val="2517"/>
        <c:spPr>
          <a:solidFill>
            <a:schemeClr val="accent1"/>
          </a:solidFill>
          <a:ln w="19050">
            <a:solidFill>
              <a:schemeClr val="lt1"/>
            </a:solidFill>
          </a:ln>
          <a:effectLst/>
        </c:spPr>
      </c:pivotFmt>
      <c:pivotFmt>
        <c:idx val="2518"/>
        <c:spPr>
          <a:solidFill>
            <a:schemeClr val="accent1"/>
          </a:solidFill>
          <a:ln w="19050">
            <a:solidFill>
              <a:schemeClr val="lt1"/>
            </a:solidFill>
          </a:ln>
          <a:effectLst/>
        </c:spPr>
      </c:pivotFmt>
      <c:pivotFmt>
        <c:idx val="2519"/>
        <c:spPr>
          <a:solidFill>
            <a:schemeClr val="accent1"/>
          </a:solidFill>
          <a:ln w="19050">
            <a:solidFill>
              <a:schemeClr val="lt1"/>
            </a:solidFill>
          </a:ln>
          <a:effectLst/>
        </c:spPr>
      </c:pivotFmt>
      <c:pivotFmt>
        <c:idx val="25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1"/>
        <c:spPr>
          <a:solidFill>
            <a:schemeClr val="accent1"/>
          </a:solidFill>
          <a:ln w="19050">
            <a:solidFill>
              <a:schemeClr val="lt1"/>
            </a:solidFill>
          </a:ln>
          <a:effectLst/>
        </c:spPr>
      </c:pivotFmt>
      <c:pivotFmt>
        <c:idx val="2522"/>
        <c:spPr>
          <a:solidFill>
            <a:schemeClr val="accent1"/>
          </a:solidFill>
          <a:ln w="19050">
            <a:solidFill>
              <a:schemeClr val="lt1"/>
            </a:solidFill>
          </a:ln>
          <a:effectLst/>
        </c:spPr>
      </c:pivotFmt>
      <c:pivotFmt>
        <c:idx val="2523"/>
        <c:spPr>
          <a:solidFill>
            <a:schemeClr val="accent1"/>
          </a:solidFill>
          <a:ln w="19050">
            <a:solidFill>
              <a:schemeClr val="lt1"/>
            </a:solidFill>
          </a:ln>
          <a:effectLst/>
        </c:spPr>
      </c:pivotFmt>
      <c:pivotFmt>
        <c:idx val="2524"/>
        <c:spPr>
          <a:solidFill>
            <a:schemeClr val="accent1"/>
          </a:solidFill>
          <a:ln w="19050">
            <a:solidFill>
              <a:schemeClr val="lt1"/>
            </a:solidFill>
          </a:ln>
          <a:effectLst/>
        </c:spPr>
      </c:pivotFmt>
      <c:pivotFmt>
        <c:idx val="2525"/>
        <c:spPr>
          <a:solidFill>
            <a:schemeClr val="accent1"/>
          </a:solidFill>
          <a:ln w="19050">
            <a:solidFill>
              <a:schemeClr val="lt1"/>
            </a:solidFill>
          </a:ln>
          <a:effectLst/>
        </c:spPr>
      </c:pivotFmt>
      <c:pivotFmt>
        <c:idx val="2526"/>
        <c:spPr>
          <a:solidFill>
            <a:schemeClr val="accent1"/>
          </a:solidFill>
          <a:ln w="19050">
            <a:solidFill>
              <a:schemeClr val="lt1"/>
            </a:solidFill>
          </a:ln>
          <a:effectLst/>
        </c:spPr>
      </c:pivotFmt>
      <c:pivotFmt>
        <c:idx val="2527"/>
        <c:spPr>
          <a:solidFill>
            <a:schemeClr val="accent1"/>
          </a:solidFill>
          <a:ln w="19050">
            <a:solidFill>
              <a:schemeClr val="lt1"/>
            </a:solidFill>
          </a:ln>
          <a:effectLst/>
        </c:spPr>
      </c:pivotFmt>
      <c:pivotFmt>
        <c:idx val="2528"/>
        <c:spPr>
          <a:solidFill>
            <a:schemeClr val="accent1"/>
          </a:solidFill>
          <a:ln w="19050">
            <a:solidFill>
              <a:schemeClr val="lt1"/>
            </a:solidFill>
          </a:ln>
          <a:effectLst/>
        </c:spPr>
      </c:pivotFmt>
      <c:pivotFmt>
        <c:idx val="2529"/>
        <c:spPr>
          <a:solidFill>
            <a:schemeClr val="accent1"/>
          </a:solidFill>
          <a:ln w="19050">
            <a:solidFill>
              <a:schemeClr val="lt1"/>
            </a:solidFill>
          </a:ln>
          <a:effectLst/>
        </c:spPr>
      </c:pivotFmt>
      <c:pivotFmt>
        <c:idx val="2530"/>
        <c:spPr>
          <a:solidFill>
            <a:schemeClr val="accent1"/>
          </a:solidFill>
          <a:ln w="19050">
            <a:solidFill>
              <a:schemeClr val="lt1"/>
            </a:solidFill>
          </a:ln>
          <a:effectLst/>
        </c:spPr>
      </c:pivotFmt>
      <c:pivotFmt>
        <c:idx val="2531"/>
        <c:spPr>
          <a:solidFill>
            <a:schemeClr val="accent1"/>
          </a:solidFill>
          <a:ln w="19050">
            <a:solidFill>
              <a:schemeClr val="lt1"/>
            </a:solidFill>
          </a:ln>
          <a:effectLst/>
        </c:spPr>
      </c:pivotFmt>
      <c:pivotFmt>
        <c:idx val="2532"/>
        <c:spPr>
          <a:solidFill>
            <a:schemeClr val="accent1"/>
          </a:solidFill>
          <a:ln w="19050">
            <a:solidFill>
              <a:schemeClr val="lt1"/>
            </a:solidFill>
          </a:ln>
          <a:effectLst/>
        </c:spPr>
      </c:pivotFmt>
      <c:pivotFmt>
        <c:idx val="2533"/>
        <c:spPr>
          <a:solidFill>
            <a:schemeClr val="accent1"/>
          </a:solidFill>
          <a:ln w="19050">
            <a:solidFill>
              <a:schemeClr val="lt1"/>
            </a:solidFill>
          </a:ln>
          <a:effectLst/>
        </c:spPr>
      </c:pivotFmt>
      <c:pivotFmt>
        <c:idx val="2534"/>
        <c:spPr>
          <a:solidFill>
            <a:schemeClr val="accent1"/>
          </a:solidFill>
          <a:ln w="19050">
            <a:solidFill>
              <a:schemeClr val="lt1"/>
            </a:solidFill>
          </a:ln>
          <a:effectLst/>
        </c:spPr>
      </c:pivotFmt>
      <c:pivotFmt>
        <c:idx val="2535"/>
        <c:spPr>
          <a:solidFill>
            <a:schemeClr val="accent1"/>
          </a:solidFill>
          <a:ln w="19050">
            <a:solidFill>
              <a:schemeClr val="lt1"/>
            </a:solidFill>
          </a:ln>
          <a:effectLst/>
        </c:spPr>
      </c:pivotFmt>
      <c:pivotFmt>
        <c:idx val="2536"/>
        <c:spPr>
          <a:solidFill>
            <a:schemeClr val="accent1"/>
          </a:solidFill>
          <a:ln w="19050">
            <a:solidFill>
              <a:schemeClr val="lt1"/>
            </a:solidFill>
          </a:ln>
          <a:effectLst/>
        </c:spPr>
      </c:pivotFmt>
      <c:pivotFmt>
        <c:idx val="2537"/>
        <c:spPr>
          <a:solidFill>
            <a:schemeClr val="accent1"/>
          </a:solidFill>
          <a:ln w="19050">
            <a:solidFill>
              <a:schemeClr val="lt1"/>
            </a:solidFill>
          </a:ln>
          <a:effectLst/>
        </c:spPr>
      </c:pivotFmt>
      <c:pivotFmt>
        <c:idx val="2538"/>
        <c:spPr>
          <a:solidFill>
            <a:schemeClr val="accent1"/>
          </a:solidFill>
          <a:ln w="19050">
            <a:solidFill>
              <a:schemeClr val="lt1"/>
            </a:solidFill>
          </a:ln>
          <a:effectLst/>
        </c:spPr>
      </c:pivotFmt>
      <c:pivotFmt>
        <c:idx val="2539"/>
        <c:spPr>
          <a:solidFill>
            <a:schemeClr val="accent1"/>
          </a:solidFill>
          <a:ln w="19050">
            <a:solidFill>
              <a:schemeClr val="lt1"/>
            </a:solidFill>
          </a:ln>
          <a:effectLst/>
        </c:spPr>
      </c:pivotFmt>
      <c:pivotFmt>
        <c:idx val="2540"/>
        <c:spPr>
          <a:solidFill>
            <a:schemeClr val="accent1"/>
          </a:solidFill>
          <a:ln w="19050">
            <a:solidFill>
              <a:schemeClr val="lt1"/>
            </a:solidFill>
          </a:ln>
          <a:effectLst/>
        </c:spPr>
      </c:pivotFmt>
      <c:pivotFmt>
        <c:idx val="2541"/>
        <c:spPr>
          <a:solidFill>
            <a:schemeClr val="accent1"/>
          </a:solidFill>
          <a:ln w="19050">
            <a:solidFill>
              <a:schemeClr val="lt1"/>
            </a:solidFill>
          </a:ln>
          <a:effectLst/>
        </c:spPr>
      </c:pivotFmt>
      <c:pivotFmt>
        <c:idx val="2542"/>
        <c:spPr>
          <a:solidFill>
            <a:schemeClr val="accent1"/>
          </a:solidFill>
          <a:ln w="19050">
            <a:solidFill>
              <a:schemeClr val="lt1"/>
            </a:solidFill>
          </a:ln>
          <a:effectLst/>
        </c:spPr>
      </c:pivotFmt>
      <c:pivotFmt>
        <c:idx val="2543"/>
        <c:spPr>
          <a:solidFill>
            <a:schemeClr val="accent1"/>
          </a:solidFill>
          <a:ln w="19050">
            <a:solidFill>
              <a:schemeClr val="lt1"/>
            </a:solidFill>
          </a:ln>
          <a:effectLst/>
        </c:spPr>
      </c:pivotFmt>
      <c:pivotFmt>
        <c:idx val="2544"/>
        <c:spPr>
          <a:solidFill>
            <a:schemeClr val="accent1"/>
          </a:solidFill>
          <a:ln w="19050">
            <a:solidFill>
              <a:schemeClr val="lt1"/>
            </a:solidFill>
          </a:ln>
          <a:effectLst/>
        </c:spPr>
      </c:pivotFmt>
      <c:pivotFmt>
        <c:idx val="2545"/>
        <c:spPr>
          <a:solidFill>
            <a:schemeClr val="accent1"/>
          </a:solidFill>
          <a:ln w="19050">
            <a:solidFill>
              <a:schemeClr val="lt1"/>
            </a:solidFill>
          </a:ln>
          <a:effectLst/>
        </c:spPr>
      </c:pivotFmt>
      <c:pivotFmt>
        <c:idx val="2546"/>
        <c:spPr>
          <a:solidFill>
            <a:schemeClr val="accent1"/>
          </a:solidFill>
          <a:ln w="19050">
            <a:solidFill>
              <a:schemeClr val="lt1"/>
            </a:solidFill>
          </a:ln>
          <a:effectLst/>
        </c:spPr>
      </c:pivotFmt>
      <c:pivotFmt>
        <c:idx val="25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8"/>
        <c:spPr>
          <a:solidFill>
            <a:schemeClr val="accent1"/>
          </a:solidFill>
          <a:ln w="19050">
            <a:solidFill>
              <a:schemeClr val="lt1"/>
            </a:solidFill>
          </a:ln>
          <a:effectLst/>
        </c:spPr>
      </c:pivotFmt>
      <c:pivotFmt>
        <c:idx val="2549"/>
        <c:spPr>
          <a:solidFill>
            <a:schemeClr val="accent1"/>
          </a:solidFill>
          <a:ln w="19050">
            <a:solidFill>
              <a:schemeClr val="lt1"/>
            </a:solidFill>
          </a:ln>
          <a:effectLst/>
        </c:spPr>
      </c:pivotFmt>
      <c:pivotFmt>
        <c:idx val="2550"/>
        <c:spPr>
          <a:solidFill>
            <a:schemeClr val="accent1"/>
          </a:solidFill>
          <a:ln w="19050">
            <a:solidFill>
              <a:schemeClr val="lt1"/>
            </a:solidFill>
          </a:ln>
          <a:effectLst/>
        </c:spPr>
      </c:pivotFmt>
      <c:pivotFmt>
        <c:idx val="2551"/>
        <c:spPr>
          <a:solidFill>
            <a:schemeClr val="accent1"/>
          </a:solidFill>
          <a:ln w="19050">
            <a:solidFill>
              <a:schemeClr val="lt1"/>
            </a:solidFill>
          </a:ln>
          <a:effectLst/>
        </c:spPr>
      </c:pivotFmt>
      <c:pivotFmt>
        <c:idx val="2552"/>
        <c:spPr>
          <a:solidFill>
            <a:schemeClr val="accent1"/>
          </a:solidFill>
          <a:ln w="19050">
            <a:solidFill>
              <a:schemeClr val="lt1"/>
            </a:solidFill>
          </a:ln>
          <a:effectLst/>
        </c:spPr>
      </c:pivotFmt>
      <c:pivotFmt>
        <c:idx val="2553"/>
        <c:spPr>
          <a:solidFill>
            <a:schemeClr val="accent1"/>
          </a:solidFill>
          <a:ln w="19050">
            <a:solidFill>
              <a:schemeClr val="lt1"/>
            </a:solidFill>
          </a:ln>
          <a:effectLst/>
        </c:spPr>
      </c:pivotFmt>
      <c:pivotFmt>
        <c:idx val="2554"/>
        <c:spPr>
          <a:solidFill>
            <a:schemeClr val="accent1"/>
          </a:solidFill>
          <a:ln w="19050">
            <a:solidFill>
              <a:schemeClr val="lt1"/>
            </a:solidFill>
          </a:ln>
          <a:effectLst/>
        </c:spPr>
      </c:pivotFmt>
      <c:pivotFmt>
        <c:idx val="2555"/>
        <c:spPr>
          <a:solidFill>
            <a:schemeClr val="accent1"/>
          </a:solidFill>
          <a:ln w="19050">
            <a:solidFill>
              <a:schemeClr val="lt1"/>
            </a:solidFill>
          </a:ln>
          <a:effectLst/>
        </c:spPr>
      </c:pivotFmt>
      <c:pivotFmt>
        <c:idx val="2556"/>
        <c:spPr>
          <a:solidFill>
            <a:schemeClr val="accent1"/>
          </a:solidFill>
          <a:ln w="19050">
            <a:solidFill>
              <a:schemeClr val="lt1"/>
            </a:solidFill>
          </a:ln>
          <a:effectLst/>
        </c:spPr>
      </c:pivotFmt>
      <c:pivotFmt>
        <c:idx val="2557"/>
        <c:spPr>
          <a:solidFill>
            <a:schemeClr val="accent1"/>
          </a:solidFill>
          <a:ln w="19050">
            <a:solidFill>
              <a:schemeClr val="lt1"/>
            </a:solidFill>
          </a:ln>
          <a:effectLst/>
        </c:spPr>
      </c:pivotFmt>
      <c:pivotFmt>
        <c:idx val="2558"/>
        <c:spPr>
          <a:solidFill>
            <a:schemeClr val="accent1"/>
          </a:solidFill>
          <a:ln w="19050">
            <a:solidFill>
              <a:schemeClr val="lt1"/>
            </a:solidFill>
          </a:ln>
          <a:effectLst/>
        </c:spPr>
      </c:pivotFmt>
      <c:pivotFmt>
        <c:idx val="2559"/>
        <c:spPr>
          <a:solidFill>
            <a:schemeClr val="accent1"/>
          </a:solidFill>
          <a:ln w="19050">
            <a:solidFill>
              <a:schemeClr val="lt1"/>
            </a:solidFill>
          </a:ln>
          <a:effectLst/>
        </c:spPr>
      </c:pivotFmt>
      <c:pivotFmt>
        <c:idx val="2560"/>
        <c:spPr>
          <a:solidFill>
            <a:schemeClr val="accent1"/>
          </a:solidFill>
          <a:ln w="19050">
            <a:solidFill>
              <a:schemeClr val="lt1"/>
            </a:solidFill>
          </a:ln>
          <a:effectLst/>
        </c:spPr>
      </c:pivotFmt>
      <c:pivotFmt>
        <c:idx val="2561"/>
        <c:spPr>
          <a:solidFill>
            <a:schemeClr val="accent1"/>
          </a:solidFill>
          <a:ln w="19050">
            <a:solidFill>
              <a:schemeClr val="lt1"/>
            </a:solidFill>
          </a:ln>
          <a:effectLst/>
        </c:spPr>
      </c:pivotFmt>
      <c:pivotFmt>
        <c:idx val="2562"/>
        <c:spPr>
          <a:solidFill>
            <a:schemeClr val="accent1"/>
          </a:solidFill>
          <a:ln w="19050">
            <a:solidFill>
              <a:schemeClr val="lt1"/>
            </a:solidFill>
          </a:ln>
          <a:effectLst/>
        </c:spPr>
      </c:pivotFmt>
      <c:pivotFmt>
        <c:idx val="2563"/>
        <c:spPr>
          <a:solidFill>
            <a:schemeClr val="accent1"/>
          </a:solidFill>
          <a:ln w="19050">
            <a:solidFill>
              <a:schemeClr val="lt1"/>
            </a:solidFill>
          </a:ln>
          <a:effectLst/>
        </c:spPr>
      </c:pivotFmt>
      <c:pivotFmt>
        <c:idx val="2564"/>
        <c:spPr>
          <a:solidFill>
            <a:schemeClr val="accent1"/>
          </a:solidFill>
          <a:ln w="19050">
            <a:solidFill>
              <a:schemeClr val="lt1"/>
            </a:solidFill>
          </a:ln>
          <a:effectLst/>
        </c:spPr>
      </c:pivotFmt>
      <c:pivotFmt>
        <c:idx val="2565"/>
        <c:spPr>
          <a:solidFill>
            <a:schemeClr val="accent1"/>
          </a:solidFill>
          <a:ln w="19050">
            <a:solidFill>
              <a:schemeClr val="lt1"/>
            </a:solidFill>
          </a:ln>
          <a:effectLst/>
        </c:spPr>
      </c:pivotFmt>
      <c:pivotFmt>
        <c:idx val="2566"/>
        <c:spPr>
          <a:solidFill>
            <a:schemeClr val="accent1"/>
          </a:solidFill>
          <a:ln w="19050">
            <a:solidFill>
              <a:schemeClr val="lt1"/>
            </a:solidFill>
          </a:ln>
          <a:effectLst/>
        </c:spPr>
      </c:pivotFmt>
      <c:pivotFmt>
        <c:idx val="2567"/>
        <c:spPr>
          <a:solidFill>
            <a:schemeClr val="accent1"/>
          </a:solidFill>
          <a:ln w="19050">
            <a:solidFill>
              <a:schemeClr val="lt1"/>
            </a:solidFill>
          </a:ln>
          <a:effectLst/>
        </c:spPr>
      </c:pivotFmt>
      <c:pivotFmt>
        <c:idx val="2568"/>
        <c:spPr>
          <a:solidFill>
            <a:schemeClr val="accent1"/>
          </a:solidFill>
          <a:ln w="19050">
            <a:solidFill>
              <a:schemeClr val="lt1"/>
            </a:solidFill>
          </a:ln>
          <a:effectLst/>
        </c:spPr>
      </c:pivotFmt>
      <c:pivotFmt>
        <c:idx val="2569"/>
        <c:spPr>
          <a:solidFill>
            <a:schemeClr val="accent1"/>
          </a:solidFill>
          <a:ln w="19050">
            <a:solidFill>
              <a:schemeClr val="lt1"/>
            </a:solidFill>
          </a:ln>
          <a:effectLst/>
        </c:spPr>
      </c:pivotFmt>
      <c:pivotFmt>
        <c:idx val="2570"/>
        <c:spPr>
          <a:solidFill>
            <a:schemeClr val="accent1"/>
          </a:solidFill>
          <a:ln w="19050">
            <a:solidFill>
              <a:schemeClr val="lt1"/>
            </a:solidFill>
          </a:ln>
          <a:effectLst/>
        </c:spPr>
      </c:pivotFmt>
      <c:pivotFmt>
        <c:idx val="2571"/>
        <c:spPr>
          <a:solidFill>
            <a:schemeClr val="accent1"/>
          </a:solidFill>
          <a:ln w="19050">
            <a:solidFill>
              <a:schemeClr val="lt1"/>
            </a:solidFill>
          </a:ln>
          <a:effectLst/>
        </c:spPr>
      </c:pivotFmt>
      <c:pivotFmt>
        <c:idx val="2572"/>
        <c:spPr>
          <a:solidFill>
            <a:schemeClr val="accent1"/>
          </a:solidFill>
          <a:ln w="19050">
            <a:solidFill>
              <a:schemeClr val="lt1"/>
            </a:solidFill>
          </a:ln>
          <a:effectLst/>
        </c:spPr>
      </c:pivotFmt>
      <c:pivotFmt>
        <c:idx val="2573"/>
        <c:spPr>
          <a:solidFill>
            <a:schemeClr val="accent1"/>
          </a:solidFill>
          <a:ln w="19050">
            <a:solidFill>
              <a:schemeClr val="lt1"/>
            </a:solidFill>
          </a:ln>
          <a:effectLst/>
        </c:spPr>
      </c:pivotFmt>
      <c:pivotFmt>
        <c:idx val="25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5"/>
        <c:spPr>
          <a:solidFill>
            <a:schemeClr val="accent1"/>
          </a:solidFill>
          <a:ln w="19050">
            <a:solidFill>
              <a:schemeClr val="lt1"/>
            </a:solidFill>
          </a:ln>
          <a:effectLst/>
        </c:spPr>
      </c:pivotFmt>
      <c:pivotFmt>
        <c:idx val="2576"/>
        <c:spPr>
          <a:solidFill>
            <a:schemeClr val="accent1"/>
          </a:solidFill>
          <a:ln w="19050">
            <a:solidFill>
              <a:schemeClr val="lt1"/>
            </a:solidFill>
          </a:ln>
          <a:effectLst/>
        </c:spPr>
      </c:pivotFmt>
      <c:pivotFmt>
        <c:idx val="2577"/>
        <c:spPr>
          <a:solidFill>
            <a:schemeClr val="accent1"/>
          </a:solidFill>
          <a:ln w="19050">
            <a:solidFill>
              <a:schemeClr val="lt1"/>
            </a:solidFill>
          </a:ln>
          <a:effectLst/>
        </c:spPr>
      </c:pivotFmt>
      <c:pivotFmt>
        <c:idx val="2578"/>
        <c:spPr>
          <a:solidFill>
            <a:schemeClr val="accent1"/>
          </a:solidFill>
          <a:ln w="19050">
            <a:solidFill>
              <a:schemeClr val="lt1"/>
            </a:solidFill>
          </a:ln>
          <a:effectLst/>
        </c:spPr>
      </c:pivotFmt>
      <c:pivotFmt>
        <c:idx val="2579"/>
        <c:spPr>
          <a:solidFill>
            <a:schemeClr val="accent1"/>
          </a:solidFill>
          <a:ln w="19050">
            <a:solidFill>
              <a:schemeClr val="lt1"/>
            </a:solidFill>
          </a:ln>
          <a:effectLst/>
        </c:spPr>
      </c:pivotFmt>
      <c:pivotFmt>
        <c:idx val="2580"/>
        <c:spPr>
          <a:solidFill>
            <a:schemeClr val="accent1"/>
          </a:solidFill>
          <a:ln w="19050">
            <a:solidFill>
              <a:schemeClr val="lt1"/>
            </a:solidFill>
          </a:ln>
          <a:effectLst/>
        </c:spPr>
      </c:pivotFmt>
      <c:pivotFmt>
        <c:idx val="2581"/>
        <c:spPr>
          <a:solidFill>
            <a:schemeClr val="accent1"/>
          </a:solidFill>
          <a:ln w="19050">
            <a:solidFill>
              <a:schemeClr val="lt1"/>
            </a:solidFill>
          </a:ln>
          <a:effectLst/>
        </c:spPr>
      </c:pivotFmt>
      <c:pivotFmt>
        <c:idx val="2582"/>
        <c:spPr>
          <a:solidFill>
            <a:schemeClr val="accent1"/>
          </a:solidFill>
          <a:ln w="19050">
            <a:solidFill>
              <a:schemeClr val="lt1"/>
            </a:solidFill>
          </a:ln>
          <a:effectLst/>
        </c:spPr>
      </c:pivotFmt>
      <c:pivotFmt>
        <c:idx val="2583"/>
        <c:spPr>
          <a:solidFill>
            <a:schemeClr val="accent1"/>
          </a:solidFill>
          <a:ln w="19050">
            <a:solidFill>
              <a:schemeClr val="lt1"/>
            </a:solidFill>
          </a:ln>
          <a:effectLst/>
        </c:spPr>
      </c:pivotFmt>
      <c:pivotFmt>
        <c:idx val="2584"/>
        <c:spPr>
          <a:solidFill>
            <a:schemeClr val="accent1"/>
          </a:solidFill>
          <a:ln w="19050">
            <a:solidFill>
              <a:schemeClr val="lt1"/>
            </a:solidFill>
          </a:ln>
          <a:effectLst/>
        </c:spPr>
      </c:pivotFmt>
      <c:pivotFmt>
        <c:idx val="2585"/>
        <c:spPr>
          <a:solidFill>
            <a:schemeClr val="accent1"/>
          </a:solidFill>
          <a:ln w="19050">
            <a:solidFill>
              <a:schemeClr val="lt1"/>
            </a:solidFill>
          </a:ln>
          <a:effectLst/>
        </c:spPr>
      </c:pivotFmt>
      <c:pivotFmt>
        <c:idx val="2586"/>
        <c:spPr>
          <a:solidFill>
            <a:schemeClr val="accent1"/>
          </a:solidFill>
          <a:ln w="19050">
            <a:solidFill>
              <a:schemeClr val="lt1"/>
            </a:solidFill>
          </a:ln>
          <a:effectLst/>
        </c:spPr>
      </c:pivotFmt>
      <c:pivotFmt>
        <c:idx val="2587"/>
        <c:spPr>
          <a:solidFill>
            <a:schemeClr val="accent1"/>
          </a:solidFill>
          <a:ln w="19050">
            <a:solidFill>
              <a:schemeClr val="lt1"/>
            </a:solidFill>
          </a:ln>
          <a:effectLst/>
        </c:spPr>
      </c:pivotFmt>
      <c:pivotFmt>
        <c:idx val="2588"/>
        <c:spPr>
          <a:solidFill>
            <a:schemeClr val="accent1"/>
          </a:solidFill>
          <a:ln w="19050">
            <a:solidFill>
              <a:schemeClr val="lt1"/>
            </a:solidFill>
          </a:ln>
          <a:effectLst/>
        </c:spPr>
      </c:pivotFmt>
      <c:pivotFmt>
        <c:idx val="2589"/>
        <c:spPr>
          <a:solidFill>
            <a:schemeClr val="accent1"/>
          </a:solidFill>
          <a:ln w="19050">
            <a:solidFill>
              <a:schemeClr val="lt1"/>
            </a:solidFill>
          </a:ln>
          <a:effectLst/>
        </c:spPr>
      </c:pivotFmt>
      <c:pivotFmt>
        <c:idx val="2590"/>
        <c:spPr>
          <a:solidFill>
            <a:schemeClr val="accent1"/>
          </a:solidFill>
          <a:ln w="19050">
            <a:solidFill>
              <a:schemeClr val="lt1"/>
            </a:solidFill>
          </a:ln>
          <a:effectLst/>
        </c:spPr>
      </c:pivotFmt>
      <c:pivotFmt>
        <c:idx val="2591"/>
        <c:spPr>
          <a:solidFill>
            <a:schemeClr val="accent1"/>
          </a:solidFill>
          <a:ln w="19050">
            <a:solidFill>
              <a:schemeClr val="lt1"/>
            </a:solidFill>
          </a:ln>
          <a:effectLst/>
        </c:spPr>
      </c:pivotFmt>
      <c:pivotFmt>
        <c:idx val="2592"/>
        <c:spPr>
          <a:solidFill>
            <a:schemeClr val="accent1"/>
          </a:solidFill>
          <a:ln w="19050">
            <a:solidFill>
              <a:schemeClr val="lt1"/>
            </a:solidFill>
          </a:ln>
          <a:effectLst/>
        </c:spPr>
      </c:pivotFmt>
      <c:pivotFmt>
        <c:idx val="2593"/>
        <c:spPr>
          <a:solidFill>
            <a:schemeClr val="accent1"/>
          </a:solidFill>
          <a:ln w="19050">
            <a:solidFill>
              <a:schemeClr val="lt1"/>
            </a:solidFill>
          </a:ln>
          <a:effectLst/>
        </c:spPr>
      </c:pivotFmt>
      <c:pivotFmt>
        <c:idx val="2594"/>
        <c:spPr>
          <a:solidFill>
            <a:schemeClr val="accent1"/>
          </a:solidFill>
          <a:ln w="19050">
            <a:solidFill>
              <a:schemeClr val="lt1"/>
            </a:solidFill>
          </a:ln>
          <a:effectLst/>
        </c:spPr>
      </c:pivotFmt>
      <c:pivotFmt>
        <c:idx val="2595"/>
        <c:spPr>
          <a:solidFill>
            <a:schemeClr val="accent1"/>
          </a:solidFill>
          <a:ln w="19050">
            <a:solidFill>
              <a:schemeClr val="lt1"/>
            </a:solidFill>
          </a:ln>
          <a:effectLst/>
        </c:spPr>
      </c:pivotFmt>
      <c:pivotFmt>
        <c:idx val="2596"/>
        <c:spPr>
          <a:solidFill>
            <a:schemeClr val="accent1"/>
          </a:solidFill>
          <a:ln w="19050">
            <a:solidFill>
              <a:schemeClr val="lt1"/>
            </a:solidFill>
          </a:ln>
          <a:effectLst/>
        </c:spPr>
      </c:pivotFmt>
      <c:pivotFmt>
        <c:idx val="2597"/>
        <c:spPr>
          <a:solidFill>
            <a:schemeClr val="accent1"/>
          </a:solidFill>
          <a:ln w="19050">
            <a:solidFill>
              <a:schemeClr val="lt1"/>
            </a:solidFill>
          </a:ln>
          <a:effectLst/>
        </c:spPr>
      </c:pivotFmt>
      <c:pivotFmt>
        <c:idx val="2598"/>
        <c:spPr>
          <a:solidFill>
            <a:schemeClr val="accent1"/>
          </a:solidFill>
          <a:ln w="19050">
            <a:solidFill>
              <a:schemeClr val="lt1"/>
            </a:solidFill>
          </a:ln>
          <a:effectLst/>
        </c:spPr>
      </c:pivotFmt>
      <c:pivotFmt>
        <c:idx val="2599"/>
        <c:spPr>
          <a:solidFill>
            <a:schemeClr val="accent1"/>
          </a:solidFill>
          <a:ln w="19050">
            <a:solidFill>
              <a:schemeClr val="lt1"/>
            </a:solidFill>
          </a:ln>
          <a:effectLst/>
        </c:spPr>
      </c:pivotFmt>
      <c:pivotFmt>
        <c:idx val="2600"/>
        <c:spPr>
          <a:solidFill>
            <a:schemeClr val="accent1"/>
          </a:solidFill>
          <a:ln w="19050">
            <a:solidFill>
              <a:schemeClr val="lt1"/>
            </a:solidFill>
          </a:ln>
          <a:effectLst/>
        </c:spPr>
      </c:pivotFmt>
      <c:pivotFmt>
        <c:idx val="26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2"/>
        <c:spPr>
          <a:solidFill>
            <a:schemeClr val="accent1"/>
          </a:solidFill>
          <a:ln w="19050">
            <a:solidFill>
              <a:schemeClr val="lt1"/>
            </a:solidFill>
          </a:ln>
          <a:effectLst/>
        </c:spPr>
      </c:pivotFmt>
      <c:pivotFmt>
        <c:idx val="2603"/>
        <c:spPr>
          <a:solidFill>
            <a:schemeClr val="accent1"/>
          </a:solidFill>
          <a:ln w="19050">
            <a:solidFill>
              <a:schemeClr val="lt1"/>
            </a:solidFill>
          </a:ln>
          <a:effectLst/>
        </c:spPr>
      </c:pivotFmt>
      <c:pivotFmt>
        <c:idx val="2604"/>
        <c:spPr>
          <a:solidFill>
            <a:schemeClr val="accent1"/>
          </a:solidFill>
          <a:ln w="19050">
            <a:solidFill>
              <a:schemeClr val="lt1"/>
            </a:solidFill>
          </a:ln>
          <a:effectLst/>
        </c:spPr>
      </c:pivotFmt>
      <c:pivotFmt>
        <c:idx val="2605"/>
        <c:spPr>
          <a:solidFill>
            <a:schemeClr val="accent1"/>
          </a:solidFill>
          <a:ln w="19050">
            <a:solidFill>
              <a:schemeClr val="lt1"/>
            </a:solidFill>
          </a:ln>
          <a:effectLst/>
        </c:spPr>
      </c:pivotFmt>
      <c:pivotFmt>
        <c:idx val="2606"/>
        <c:spPr>
          <a:solidFill>
            <a:schemeClr val="accent1"/>
          </a:solidFill>
          <a:ln w="19050">
            <a:solidFill>
              <a:schemeClr val="lt1"/>
            </a:solidFill>
          </a:ln>
          <a:effectLst/>
        </c:spPr>
      </c:pivotFmt>
      <c:pivotFmt>
        <c:idx val="2607"/>
        <c:spPr>
          <a:solidFill>
            <a:schemeClr val="accent1"/>
          </a:solidFill>
          <a:ln w="19050">
            <a:solidFill>
              <a:schemeClr val="lt1"/>
            </a:solidFill>
          </a:ln>
          <a:effectLst/>
        </c:spPr>
      </c:pivotFmt>
      <c:pivotFmt>
        <c:idx val="2608"/>
        <c:spPr>
          <a:solidFill>
            <a:schemeClr val="accent1"/>
          </a:solidFill>
          <a:ln w="19050">
            <a:solidFill>
              <a:schemeClr val="lt1"/>
            </a:solidFill>
          </a:ln>
          <a:effectLst/>
        </c:spPr>
      </c:pivotFmt>
      <c:pivotFmt>
        <c:idx val="2609"/>
        <c:spPr>
          <a:solidFill>
            <a:schemeClr val="accent1"/>
          </a:solidFill>
          <a:ln w="19050">
            <a:solidFill>
              <a:schemeClr val="lt1"/>
            </a:solidFill>
          </a:ln>
          <a:effectLst/>
        </c:spPr>
      </c:pivotFmt>
      <c:pivotFmt>
        <c:idx val="2610"/>
        <c:spPr>
          <a:solidFill>
            <a:schemeClr val="accent1"/>
          </a:solidFill>
          <a:ln w="19050">
            <a:solidFill>
              <a:schemeClr val="lt1"/>
            </a:solidFill>
          </a:ln>
          <a:effectLst/>
        </c:spPr>
      </c:pivotFmt>
      <c:pivotFmt>
        <c:idx val="2611"/>
        <c:spPr>
          <a:solidFill>
            <a:schemeClr val="accent1"/>
          </a:solidFill>
          <a:ln w="19050">
            <a:solidFill>
              <a:schemeClr val="lt1"/>
            </a:solidFill>
          </a:ln>
          <a:effectLst/>
        </c:spPr>
      </c:pivotFmt>
      <c:pivotFmt>
        <c:idx val="2612"/>
        <c:spPr>
          <a:solidFill>
            <a:schemeClr val="accent1"/>
          </a:solidFill>
          <a:ln w="19050">
            <a:solidFill>
              <a:schemeClr val="lt1"/>
            </a:solidFill>
          </a:ln>
          <a:effectLst/>
        </c:spPr>
      </c:pivotFmt>
      <c:pivotFmt>
        <c:idx val="2613"/>
        <c:spPr>
          <a:solidFill>
            <a:schemeClr val="accent1"/>
          </a:solidFill>
          <a:ln w="19050">
            <a:solidFill>
              <a:schemeClr val="lt1"/>
            </a:solidFill>
          </a:ln>
          <a:effectLst/>
        </c:spPr>
      </c:pivotFmt>
      <c:pivotFmt>
        <c:idx val="2614"/>
        <c:spPr>
          <a:solidFill>
            <a:schemeClr val="accent1"/>
          </a:solidFill>
          <a:ln w="19050">
            <a:solidFill>
              <a:schemeClr val="lt1"/>
            </a:solidFill>
          </a:ln>
          <a:effectLst/>
        </c:spPr>
      </c:pivotFmt>
      <c:pivotFmt>
        <c:idx val="2615"/>
        <c:spPr>
          <a:solidFill>
            <a:schemeClr val="accent1"/>
          </a:solidFill>
          <a:ln w="19050">
            <a:solidFill>
              <a:schemeClr val="lt1"/>
            </a:solidFill>
          </a:ln>
          <a:effectLst/>
        </c:spPr>
      </c:pivotFmt>
      <c:pivotFmt>
        <c:idx val="2616"/>
        <c:spPr>
          <a:solidFill>
            <a:schemeClr val="accent1"/>
          </a:solidFill>
          <a:ln w="19050">
            <a:solidFill>
              <a:schemeClr val="lt1"/>
            </a:solidFill>
          </a:ln>
          <a:effectLst/>
        </c:spPr>
      </c:pivotFmt>
      <c:pivotFmt>
        <c:idx val="2617"/>
        <c:spPr>
          <a:solidFill>
            <a:schemeClr val="accent1"/>
          </a:solidFill>
          <a:ln w="19050">
            <a:solidFill>
              <a:schemeClr val="lt1"/>
            </a:solidFill>
          </a:ln>
          <a:effectLst/>
        </c:spPr>
      </c:pivotFmt>
      <c:pivotFmt>
        <c:idx val="2618"/>
        <c:spPr>
          <a:solidFill>
            <a:schemeClr val="accent1"/>
          </a:solidFill>
          <a:ln w="19050">
            <a:solidFill>
              <a:schemeClr val="lt1"/>
            </a:solidFill>
          </a:ln>
          <a:effectLst/>
        </c:spPr>
      </c:pivotFmt>
      <c:pivotFmt>
        <c:idx val="2619"/>
        <c:spPr>
          <a:solidFill>
            <a:schemeClr val="accent1"/>
          </a:solidFill>
          <a:ln w="19050">
            <a:solidFill>
              <a:schemeClr val="lt1"/>
            </a:solidFill>
          </a:ln>
          <a:effectLst/>
        </c:spPr>
      </c:pivotFmt>
      <c:pivotFmt>
        <c:idx val="2620"/>
        <c:spPr>
          <a:solidFill>
            <a:schemeClr val="accent1"/>
          </a:solidFill>
          <a:ln w="19050">
            <a:solidFill>
              <a:schemeClr val="lt1"/>
            </a:solidFill>
          </a:ln>
          <a:effectLst/>
        </c:spPr>
      </c:pivotFmt>
      <c:pivotFmt>
        <c:idx val="2621"/>
        <c:spPr>
          <a:solidFill>
            <a:schemeClr val="accent1"/>
          </a:solidFill>
          <a:ln w="19050">
            <a:solidFill>
              <a:schemeClr val="lt1"/>
            </a:solidFill>
          </a:ln>
          <a:effectLst/>
        </c:spPr>
      </c:pivotFmt>
      <c:pivotFmt>
        <c:idx val="2622"/>
        <c:spPr>
          <a:solidFill>
            <a:schemeClr val="accent1"/>
          </a:solidFill>
          <a:ln w="19050">
            <a:solidFill>
              <a:schemeClr val="lt1"/>
            </a:solidFill>
          </a:ln>
          <a:effectLst/>
        </c:spPr>
      </c:pivotFmt>
      <c:pivotFmt>
        <c:idx val="2623"/>
        <c:spPr>
          <a:solidFill>
            <a:schemeClr val="accent1"/>
          </a:solidFill>
          <a:ln w="19050">
            <a:solidFill>
              <a:schemeClr val="lt1"/>
            </a:solidFill>
          </a:ln>
          <a:effectLst/>
        </c:spPr>
      </c:pivotFmt>
      <c:pivotFmt>
        <c:idx val="2624"/>
        <c:spPr>
          <a:solidFill>
            <a:schemeClr val="accent1"/>
          </a:solidFill>
          <a:ln w="19050">
            <a:solidFill>
              <a:schemeClr val="lt1"/>
            </a:solidFill>
          </a:ln>
          <a:effectLst/>
        </c:spPr>
      </c:pivotFmt>
      <c:pivotFmt>
        <c:idx val="2625"/>
        <c:spPr>
          <a:solidFill>
            <a:schemeClr val="accent1"/>
          </a:solidFill>
          <a:ln w="19050">
            <a:solidFill>
              <a:schemeClr val="lt1"/>
            </a:solidFill>
          </a:ln>
          <a:effectLst/>
        </c:spPr>
      </c:pivotFmt>
      <c:pivotFmt>
        <c:idx val="2626"/>
        <c:spPr>
          <a:solidFill>
            <a:schemeClr val="accent1"/>
          </a:solidFill>
          <a:ln w="19050">
            <a:solidFill>
              <a:schemeClr val="lt1"/>
            </a:solidFill>
          </a:ln>
          <a:effectLst/>
        </c:spPr>
      </c:pivotFmt>
      <c:pivotFmt>
        <c:idx val="2627"/>
        <c:spPr>
          <a:solidFill>
            <a:schemeClr val="accent1"/>
          </a:solidFill>
          <a:ln w="19050">
            <a:solidFill>
              <a:schemeClr val="lt1"/>
            </a:solidFill>
          </a:ln>
          <a:effectLst/>
        </c:spPr>
      </c:pivotFmt>
      <c:pivotFmt>
        <c:idx val="26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9"/>
        <c:spPr>
          <a:solidFill>
            <a:schemeClr val="accent1"/>
          </a:solidFill>
          <a:ln w="19050">
            <a:solidFill>
              <a:schemeClr val="lt1"/>
            </a:solidFill>
          </a:ln>
          <a:effectLst/>
        </c:spPr>
      </c:pivotFmt>
      <c:pivotFmt>
        <c:idx val="2630"/>
        <c:spPr>
          <a:solidFill>
            <a:schemeClr val="accent1"/>
          </a:solidFill>
          <a:ln w="19050">
            <a:solidFill>
              <a:schemeClr val="lt1"/>
            </a:solidFill>
          </a:ln>
          <a:effectLst/>
        </c:spPr>
      </c:pivotFmt>
      <c:pivotFmt>
        <c:idx val="2631"/>
        <c:spPr>
          <a:solidFill>
            <a:schemeClr val="accent1"/>
          </a:solidFill>
          <a:ln w="19050">
            <a:solidFill>
              <a:schemeClr val="lt1"/>
            </a:solidFill>
          </a:ln>
          <a:effectLst/>
        </c:spPr>
      </c:pivotFmt>
      <c:pivotFmt>
        <c:idx val="2632"/>
        <c:spPr>
          <a:solidFill>
            <a:schemeClr val="accent1"/>
          </a:solidFill>
          <a:ln w="19050">
            <a:solidFill>
              <a:schemeClr val="lt1"/>
            </a:solidFill>
          </a:ln>
          <a:effectLst/>
        </c:spPr>
      </c:pivotFmt>
      <c:pivotFmt>
        <c:idx val="2633"/>
        <c:spPr>
          <a:solidFill>
            <a:schemeClr val="accent1"/>
          </a:solidFill>
          <a:ln w="19050">
            <a:solidFill>
              <a:schemeClr val="lt1"/>
            </a:solidFill>
          </a:ln>
          <a:effectLst/>
        </c:spPr>
      </c:pivotFmt>
      <c:pivotFmt>
        <c:idx val="2634"/>
        <c:spPr>
          <a:solidFill>
            <a:schemeClr val="accent1"/>
          </a:solidFill>
          <a:ln w="19050">
            <a:solidFill>
              <a:schemeClr val="lt1"/>
            </a:solidFill>
          </a:ln>
          <a:effectLst/>
        </c:spPr>
      </c:pivotFmt>
      <c:pivotFmt>
        <c:idx val="2635"/>
        <c:spPr>
          <a:solidFill>
            <a:schemeClr val="accent1"/>
          </a:solidFill>
          <a:ln w="19050">
            <a:solidFill>
              <a:schemeClr val="lt1"/>
            </a:solidFill>
          </a:ln>
          <a:effectLst/>
        </c:spPr>
      </c:pivotFmt>
      <c:pivotFmt>
        <c:idx val="2636"/>
        <c:spPr>
          <a:solidFill>
            <a:schemeClr val="accent1"/>
          </a:solidFill>
          <a:ln w="19050">
            <a:solidFill>
              <a:schemeClr val="lt1"/>
            </a:solidFill>
          </a:ln>
          <a:effectLst/>
        </c:spPr>
      </c:pivotFmt>
      <c:pivotFmt>
        <c:idx val="2637"/>
        <c:spPr>
          <a:solidFill>
            <a:schemeClr val="accent1"/>
          </a:solidFill>
          <a:ln w="19050">
            <a:solidFill>
              <a:schemeClr val="lt1"/>
            </a:solidFill>
          </a:ln>
          <a:effectLst/>
        </c:spPr>
      </c:pivotFmt>
      <c:pivotFmt>
        <c:idx val="2638"/>
        <c:spPr>
          <a:solidFill>
            <a:schemeClr val="accent1"/>
          </a:solidFill>
          <a:ln w="19050">
            <a:solidFill>
              <a:schemeClr val="lt1"/>
            </a:solidFill>
          </a:ln>
          <a:effectLst/>
        </c:spPr>
      </c:pivotFmt>
      <c:pivotFmt>
        <c:idx val="2639"/>
        <c:spPr>
          <a:solidFill>
            <a:schemeClr val="accent1"/>
          </a:solidFill>
          <a:ln w="19050">
            <a:solidFill>
              <a:schemeClr val="lt1"/>
            </a:solidFill>
          </a:ln>
          <a:effectLst/>
        </c:spPr>
      </c:pivotFmt>
      <c:pivotFmt>
        <c:idx val="2640"/>
        <c:spPr>
          <a:solidFill>
            <a:schemeClr val="accent1"/>
          </a:solidFill>
          <a:ln w="19050">
            <a:solidFill>
              <a:schemeClr val="lt1"/>
            </a:solidFill>
          </a:ln>
          <a:effectLst/>
        </c:spPr>
      </c:pivotFmt>
      <c:pivotFmt>
        <c:idx val="2641"/>
        <c:spPr>
          <a:solidFill>
            <a:schemeClr val="accent1"/>
          </a:solidFill>
          <a:ln w="19050">
            <a:solidFill>
              <a:schemeClr val="lt1"/>
            </a:solidFill>
          </a:ln>
          <a:effectLst/>
        </c:spPr>
      </c:pivotFmt>
      <c:pivotFmt>
        <c:idx val="2642"/>
        <c:spPr>
          <a:solidFill>
            <a:schemeClr val="accent1"/>
          </a:solidFill>
          <a:ln w="19050">
            <a:solidFill>
              <a:schemeClr val="lt1"/>
            </a:solidFill>
          </a:ln>
          <a:effectLst/>
        </c:spPr>
      </c:pivotFmt>
      <c:pivotFmt>
        <c:idx val="2643"/>
        <c:spPr>
          <a:solidFill>
            <a:schemeClr val="accent1"/>
          </a:solidFill>
          <a:ln w="19050">
            <a:solidFill>
              <a:schemeClr val="lt1"/>
            </a:solidFill>
          </a:ln>
          <a:effectLst/>
        </c:spPr>
      </c:pivotFmt>
      <c:pivotFmt>
        <c:idx val="2644"/>
        <c:spPr>
          <a:solidFill>
            <a:schemeClr val="accent1"/>
          </a:solidFill>
          <a:ln w="19050">
            <a:solidFill>
              <a:schemeClr val="lt1"/>
            </a:solidFill>
          </a:ln>
          <a:effectLst/>
        </c:spPr>
      </c:pivotFmt>
      <c:pivotFmt>
        <c:idx val="2645"/>
        <c:spPr>
          <a:solidFill>
            <a:schemeClr val="accent1"/>
          </a:solidFill>
          <a:ln w="19050">
            <a:solidFill>
              <a:schemeClr val="lt1"/>
            </a:solidFill>
          </a:ln>
          <a:effectLst/>
        </c:spPr>
      </c:pivotFmt>
      <c:pivotFmt>
        <c:idx val="2646"/>
        <c:spPr>
          <a:solidFill>
            <a:schemeClr val="accent1"/>
          </a:solidFill>
          <a:ln w="19050">
            <a:solidFill>
              <a:schemeClr val="lt1"/>
            </a:solidFill>
          </a:ln>
          <a:effectLst/>
        </c:spPr>
      </c:pivotFmt>
      <c:pivotFmt>
        <c:idx val="2647"/>
        <c:spPr>
          <a:solidFill>
            <a:schemeClr val="accent1"/>
          </a:solidFill>
          <a:ln w="19050">
            <a:solidFill>
              <a:schemeClr val="lt1"/>
            </a:solidFill>
          </a:ln>
          <a:effectLst/>
        </c:spPr>
      </c:pivotFmt>
      <c:pivotFmt>
        <c:idx val="2648"/>
        <c:spPr>
          <a:solidFill>
            <a:schemeClr val="accent1"/>
          </a:solidFill>
          <a:ln w="19050">
            <a:solidFill>
              <a:schemeClr val="lt1"/>
            </a:solidFill>
          </a:ln>
          <a:effectLst/>
        </c:spPr>
      </c:pivotFmt>
      <c:pivotFmt>
        <c:idx val="2649"/>
        <c:spPr>
          <a:solidFill>
            <a:schemeClr val="accent1"/>
          </a:solidFill>
          <a:ln w="19050">
            <a:solidFill>
              <a:schemeClr val="lt1"/>
            </a:solidFill>
          </a:ln>
          <a:effectLst/>
        </c:spPr>
      </c:pivotFmt>
      <c:pivotFmt>
        <c:idx val="2650"/>
        <c:spPr>
          <a:solidFill>
            <a:schemeClr val="accent1"/>
          </a:solidFill>
          <a:ln w="19050">
            <a:solidFill>
              <a:schemeClr val="lt1"/>
            </a:solidFill>
          </a:ln>
          <a:effectLst/>
        </c:spPr>
      </c:pivotFmt>
      <c:pivotFmt>
        <c:idx val="2651"/>
        <c:spPr>
          <a:solidFill>
            <a:schemeClr val="accent1"/>
          </a:solidFill>
          <a:ln w="19050">
            <a:solidFill>
              <a:schemeClr val="lt1"/>
            </a:solidFill>
          </a:ln>
          <a:effectLst/>
        </c:spPr>
      </c:pivotFmt>
      <c:pivotFmt>
        <c:idx val="2652"/>
        <c:spPr>
          <a:solidFill>
            <a:schemeClr val="accent1"/>
          </a:solidFill>
          <a:ln w="19050">
            <a:solidFill>
              <a:schemeClr val="lt1"/>
            </a:solidFill>
          </a:ln>
          <a:effectLst/>
        </c:spPr>
      </c:pivotFmt>
      <c:pivotFmt>
        <c:idx val="2653"/>
        <c:spPr>
          <a:solidFill>
            <a:schemeClr val="accent1"/>
          </a:solidFill>
          <a:ln w="19050">
            <a:solidFill>
              <a:schemeClr val="lt1"/>
            </a:solidFill>
          </a:ln>
          <a:effectLst/>
        </c:spPr>
      </c:pivotFmt>
      <c:pivotFmt>
        <c:idx val="2654"/>
        <c:spPr>
          <a:solidFill>
            <a:schemeClr val="accent1"/>
          </a:solidFill>
          <a:ln w="19050">
            <a:solidFill>
              <a:schemeClr val="lt1"/>
            </a:solidFill>
          </a:ln>
          <a:effectLst/>
        </c:spPr>
      </c:pivotFmt>
      <c:pivotFmt>
        <c:idx val="26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6"/>
        <c:spPr>
          <a:solidFill>
            <a:schemeClr val="accent1"/>
          </a:solidFill>
          <a:ln w="19050">
            <a:solidFill>
              <a:schemeClr val="lt1"/>
            </a:solidFill>
          </a:ln>
          <a:effectLst/>
        </c:spPr>
      </c:pivotFmt>
      <c:pivotFmt>
        <c:idx val="2657"/>
        <c:spPr>
          <a:solidFill>
            <a:schemeClr val="accent1"/>
          </a:solidFill>
          <a:ln w="19050">
            <a:solidFill>
              <a:schemeClr val="lt1"/>
            </a:solidFill>
          </a:ln>
          <a:effectLst/>
        </c:spPr>
      </c:pivotFmt>
      <c:pivotFmt>
        <c:idx val="2658"/>
        <c:spPr>
          <a:solidFill>
            <a:schemeClr val="accent1"/>
          </a:solidFill>
          <a:ln w="19050">
            <a:solidFill>
              <a:schemeClr val="lt1"/>
            </a:solidFill>
          </a:ln>
          <a:effectLst/>
        </c:spPr>
      </c:pivotFmt>
      <c:pivotFmt>
        <c:idx val="2659"/>
        <c:spPr>
          <a:solidFill>
            <a:schemeClr val="accent1"/>
          </a:solidFill>
          <a:ln w="19050">
            <a:solidFill>
              <a:schemeClr val="lt1"/>
            </a:solidFill>
          </a:ln>
          <a:effectLst/>
        </c:spPr>
      </c:pivotFmt>
      <c:pivotFmt>
        <c:idx val="2660"/>
        <c:spPr>
          <a:solidFill>
            <a:schemeClr val="accent1"/>
          </a:solidFill>
          <a:ln w="19050">
            <a:solidFill>
              <a:schemeClr val="lt1"/>
            </a:solidFill>
          </a:ln>
          <a:effectLst/>
        </c:spPr>
      </c:pivotFmt>
      <c:pivotFmt>
        <c:idx val="2661"/>
        <c:spPr>
          <a:solidFill>
            <a:schemeClr val="accent1"/>
          </a:solidFill>
          <a:ln w="19050">
            <a:solidFill>
              <a:schemeClr val="lt1"/>
            </a:solidFill>
          </a:ln>
          <a:effectLst/>
        </c:spPr>
      </c:pivotFmt>
      <c:pivotFmt>
        <c:idx val="2662"/>
        <c:spPr>
          <a:solidFill>
            <a:schemeClr val="accent1"/>
          </a:solidFill>
          <a:ln w="19050">
            <a:solidFill>
              <a:schemeClr val="lt1"/>
            </a:solidFill>
          </a:ln>
          <a:effectLst/>
        </c:spPr>
      </c:pivotFmt>
      <c:pivotFmt>
        <c:idx val="2663"/>
        <c:spPr>
          <a:solidFill>
            <a:schemeClr val="accent1"/>
          </a:solidFill>
          <a:ln w="19050">
            <a:solidFill>
              <a:schemeClr val="lt1"/>
            </a:solidFill>
          </a:ln>
          <a:effectLst/>
        </c:spPr>
      </c:pivotFmt>
      <c:pivotFmt>
        <c:idx val="2664"/>
        <c:spPr>
          <a:solidFill>
            <a:schemeClr val="accent1"/>
          </a:solidFill>
          <a:ln w="19050">
            <a:solidFill>
              <a:schemeClr val="lt1"/>
            </a:solidFill>
          </a:ln>
          <a:effectLst/>
        </c:spPr>
      </c:pivotFmt>
      <c:pivotFmt>
        <c:idx val="2665"/>
        <c:spPr>
          <a:solidFill>
            <a:schemeClr val="accent1"/>
          </a:solidFill>
          <a:ln w="19050">
            <a:solidFill>
              <a:schemeClr val="lt1"/>
            </a:solidFill>
          </a:ln>
          <a:effectLst/>
        </c:spPr>
      </c:pivotFmt>
      <c:pivotFmt>
        <c:idx val="2666"/>
        <c:spPr>
          <a:solidFill>
            <a:schemeClr val="accent1"/>
          </a:solidFill>
          <a:ln w="19050">
            <a:solidFill>
              <a:schemeClr val="lt1"/>
            </a:solidFill>
          </a:ln>
          <a:effectLst/>
        </c:spPr>
      </c:pivotFmt>
      <c:pivotFmt>
        <c:idx val="2667"/>
        <c:spPr>
          <a:solidFill>
            <a:schemeClr val="accent1"/>
          </a:solidFill>
          <a:ln w="19050">
            <a:solidFill>
              <a:schemeClr val="lt1"/>
            </a:solidFill>
          </a:ln>
          <a:effectLst/>
        </c:spPr>
      </c:pivotFmt>
      <c:pivotFmt>
        <c:idx val="2668"/>
        <c:spPr>
          <a:solidFill>
            <a:schemeClr val="accent1"/>
          </a:solidFill>
          <a:ln w="19050">
            <a:solidFill>
              <a:schemeClr val="lt1"/>
            </a:solidFill>
          </a:ln>
          <a:effectLst/>
        </c:spPr>
      </c:pivotFmt>
      <c:pivotFmt>
        <c:idx val="2669"/>
        <c:spPr>
          <a:solidFill>
            <a:schemeClr val="accent1"/>
          </a:solidFill>
          <a:ln w="19050">
            <a:solidFill>
              <a:schemeClr val="lt1"/>
            </a:solidFill>
          </a:ln>
          <a:effectLst/>
        </c:spPr>
      </c:pivotFmt>
      <c:pivotFmt>
        <c:idx val="2670"/>
        <c:spPr>
          <a:solidFill>
            <a:schemeClr val="accent1"/>
          </a:solidFill>
          <a:ln w="19050">
            <a:solidFill>
              <a:schemeClr val="lt1"/>
            </a:solidFill>
          </a:ln>
          <a:effectLst/>
        </c:spPr>
      </c:pivotFmt>
      <c:pivotFmt>
        <c:idx val="2671"/>
        <c:spPr>
          <a:solidFill>
            <a:schemeClr val="accent1"/>
          </a:solidFill>
          <a:ln w="19050">
            <a:solidFill>
              <a:schemeClr val="lt1"/>
            </a:solidFill>
          </a:ln>
          <a:effectLst/>
        </c:spPr>
      </c:pivotFmt>
      <c:pivotFmt>
        <c:idx val="2672"/>
        <c:spPr>
          <a:solidFill>
            <a:schemeClr val="accent1"/>
          </a:solidFill>
          <a:ln w="19050">
            <a:solidFill>
              <a:schemeClr val="lt1"/>
            </a:solidFill>
          </a:ln>
          <a:effectLst/>
        </c:spPr>
      </c:pivotFmt>
      <c:pivotFmt>
        <c:idx val="2673"/>
        <c:spPr>
          <a:solidFill>
            <a:schemeClr val="accent1"/>
          </a:solidFill>
          <a:ln w="19050">
            <a:solidFill>
              <a:schemeClr val="lt1"/>
            </a:solidFill>
          </a:ln>
          <a:effectLst/>
        </c:spPr>
      </c:pivotFmt>
      <c:pivotFmt>
        <c:idx val="2674"/>
        <c:spPr>
          <a:solidFill>
            <a:schemeClr val="accent1"/>
          </a:solidFill>
          <a:ln w="19050">
            <a:solidFill>
              <a:schemeClr val="lt1"/>
            </a:solidFill>
          </a:ln>
          <a:effectLst/>
        </c:spPr>
      </c:pivotFmt>
      <c:pivotFmt>
        <c:idx val="2675"/>
        <c:spPr>
          <a:solidFill>
            <a:schemeClr val="accent1"/>
          </a:solidFill>
          <a:ln w="19050">
            <a:solidFill>
              <a:schemeClr val="lt1"/>
            </a:solidFill>
          </a:ln>
          <a:effectLst/>
        </c:spPr>
      </c:pivotFmt>
      <c:pivotFmt>
        <c:idx val="2676"/>
        <c:spPr>
          <a:solidFill>
            <a:schemeClr val="accent1"/>
          </a:solidFill>
          <a:ln w="19050">
            <a:solidFill>
              <a:schemeClr val="lt1"/>
            </a:solidFill>
          </a:ln>
          <a:effectLst/>
        </c:spPr>
      </c:pivotFmt>
      <c:pivotFmt>
        <c:idx val="2677"/>
        <c:spPr>
          <a:solidFill>
            <a:schemeClr val="accent1"/>
          </a:solidFill>
          <a:ln w="19050">
            <a:solidFill>
              <a:schemeClr val="lt1"/>
            </a:solidFill>
          </a:ln>
          <a:effectLst/>
        </c:spPr>
      </c:pivotFmt>
      <c:pivotFmt>
        <c:idx val="2678"/>
        <c:spPr>
          <a:solidFill>
            <a:schemeClr val="accent1"/>
          </a:solidFill>
          <a:ln w="19050">
            <a:solidFill>
              <a:schemeClr val="lt1"/>
            </a:solidFill>
          </a:ln>
          <a:effectLst/>
        </c:spPr>
      </c:pivotFmt>
      <c:pivotFmt>
        <c:idx val="2679"/>
        <c:spPr>
          <a:solidFill>
            <a:schemeClr val="accent1"/>
          </a:solidFill>
          <a:ln w="19050">
            <a:solidFill>
              <a:schemeClr val="lt1"/>
            </a:solidFill>
          </a:ln>
          <a:effectLst/>
        </c:spPr>
      </c:pivotFmt>
      <c:pivotFmt>
        <c:idx val="2680"/>
        <c:spPr>
          <a:solidFill>
            <a:schemeClr val="accent1"/>
          </a:solidFill>
          <a:ln w="19050">
            <a:solidFill>
              <a:schemeClr val="lt1"/>
            </a:solidFill>
          </a:ln>
          <a:effectLst/>
        </c:spPr>
      </c:pivotFmt>
      <c:pivotFmt>
        <c:idx val="2681"/>
        <c:spPr>
          <a:solidFill>
            <a:schemeClr val="accent1"/>
          </a:solidFill>
          <a:ln w="19050">
            <a:solidFill>
              <a:schemeClr val="lt1"/>
            </a:solidFill>
          </a:ln>
          <a:effectLst/>
        </c:spPr>
      </c:pivotFmt>
      <c:pivotFmt>
        <c:idx val="26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3"/>
        <c:spPr>
          <a:solidFill>
            <a:schemeClr val="accent1"/>
          </a:solidFill>
          <a:ln w="19050">
            <a:solidFill>
              <a:schemeClr val="lt1"/>
            </a:solidFill>
          </a:ln>
          <a:effectLst/>
        </c:spPr>
      </c:pivotFmt>
      <c:pivotFmt>
        <c:idx val="2684"/>
        <c:spPr>
          <a:solidFill>
            <a:schemeClr val="accent1"/>
          </a:solidFill>
          <a:ln w="19050">
            <a:solidFill>
              <a:schemeClr val="lt1"/>
            </a:solidFill>
          </a:ln>
          <a:effectLst/>
        </c:spPr>
      </c:pivotFmt>
      <c:pivotFmt>
        <c:idx val="2685"/>
        <c:spPr>
          <a:solidFill>
            <a:schemeClr val="accent1"/>
          </a:solidFill>
          <a:ln w="19050">
            <a:solidFill>
              <a:schemeClr val="lt1"/>
            </a:solidFill>
          </a:ln>
          <a:effectLst/>
        </c:spPr>
      </c:pivotFmt>
      <c:pivotFmt>
        <c:idx val="2686"/>
        <c:spPr>
          <a:solidFill>
            <a:schemeClr val="accent1"/>
          </a:solidFill>
          <a:ln w="19050">
            <a:solidFill>
              <a:schemeClr val="lt1"/>
            </a:solidFill>
          </a:ln>
          <a:effectLst/>
        </c:spPr>
      </c:pivotFmt>
      <c:pivotFmt>
        <c:idx val="2687"/>
        <c:spPr>
          <a:solidFill>
            <a:schemeClr val="accent1"/>
          </a:solidFill>
          <a:ln w="19050">
            <a:solidFill>
              <a:schemeClr val="lt1"/>
            </a:solidFill>
          </a:ln>
          <a:effectLst/>
        </c:spPr>
      </c:pivotFmt>
      <c:pivotFmt>
        <c:idx val="2688"/>
        <c:spPr>
          <a:solidFill>
            <a:schemeClr val="accent1"/>
          </a:solidFill>
          <a:ln w="19050">
            <a:solidFill>
              <a:schemeClr val="lt1"/>
            </a:solidFill>
          </a:ln>
          <a:effectLst/>
        </c:spPr>
      </c:pivotFmt>
      <c:pivotFmt>
        <c:idx val="2689"/>
        <c:spPr>
          <a:solidFill>
            <a:schemeClr val="accent1"/>
          </a:solidFill>
          <a:ln w="19050">
            <a:solidFill>
              <a:schemeClr val="lt1"/>
            </a:solidFill>
          </a:ln>
          <a:effectLst/>
        </c:spPr>
      </c:pivotFmt>
      <c:pivotFmt>
        <c:idx val="2690"/>
        <c:spPr>
          <a:solidFill>
            <a:schemeClr val="accent1"/>
          </a:solidFill>
          <a:ln w="19050">
            <a:solidFill>
              <a:schemeClr val="lt1"/>
            </a:solidFill>
          </a:ln>
          <a:effectLst/>
        </c:spPr>
      </c:pivotFmt>
      <c:pivotFmt>
        <c:idx val="2691"/>
        <c:spPr>
          <a:solidFill>
            <a:schemeClr val="accent1"/>
          </a:solidFill>
          <a:ln w="19050">
            <a:solidFill>
              <a:schemeClr val="lt1"/>
            </a:solidFill>
          </a:ln>
          <a:effectLst/>
        </c:spPr>
      </c:pivotFmt>
      <c:pivotFmt>
        <c:idx val="2692"/>
        <c:spPr>
          <a:solidFill>
            <a:schemeClr val="accent1"/>
          </a:solidFill>
          <a:ln w="19050">
            <a:solidFill>
              <a:schemeClr val="lt1"/>
            </a:solidFill>
          </a:ln>
          <a:effectLst/>
        </c:spPr>
      </c:pivotFmt>
      <c:pivotFmt>
        <c:idx val="2693"/>
        <c:spPr>
          <a:solidFill>
            <a:schemeClr val="accent1"/>
          </a:solidFill>
          <a:ln w="19050">
            <a:solidFill>
              <a:schemeClr val="lt1"/>
            </a:solidFill>
          </a:ln>
          <a:effectLst/>
        </c:spPr>
      </c:pivotFmt>
      <c:pivotFmt>
        <c:idx val="2694"/>
        <c:spPr>
          <a:solidFill>
            <a:schemeClr val="accent1"/>
          </a:solidFill>
          <a:ln w="19050">
            <a:solidFill>
              <a:schemeClr val="lt1"/>
            </a:solidFill>
          </a:ln>
          <a:effectLst/>
        </c:spPr>
      </c:pivotFmt>
      <c:pivotFmt>
        <c:idx val="2695"/>
        <c:spPr>
          <a:solidFill>
            <a:schemeClr val="accent1"/>
          </a:solidFill>
          <a:ln w="19050">
            <a:solidFill>
              <a:schemeClr val="lt1"/>
            </a:solidFill>
          </a:ln>
          <a:effectLst/>
        </c:spPr>
      </c:pivotFmt>
      <c:pivotFmt>
        <c:idx val="2696"/>
        <c:spPr>
          <a:solidFill>
            <a:schemeClr val="accent1"/>
          </a:solidFill>
          <a:ln w="19050">
            <a:solidFill>
              <a:schemeClr val="lt1"/>
            </a:solidFill>
          </a:ln>
          <a:effectLst/>
        </c:spPr>
      </c:pivotFmt>
      <c:pivotFmt>
        <c:idx val="2697"/>
        <c:spPr>
          <a:solidFill>
            <a:schemeClr val="accent1"/>
          </a:solidFill>
          <a:ln w="19050">
            <a:solidFill>
              <a:schemeClr val="lt1"/>
            </a:solidFill>
          </a:ln>
          <a:effectLst/>
        </c:spPr>
      </c:pivotFmt>
      <c:pivotFmt>
        <c:idx val="2698"/>
        <c:spPr>
          <a:solidFill>
            <a:schemeClr val="accent1"/>
          </a:solidFill>
          <a:ln w="19050">
            <a:solidFill>
              <a:schemeClr val="lt1"/>
            </a:solidFill>
          </a:ln>
          <a:effectLst/>
        </c:spPr>
      </c:pivotFmt>
      <c:pivotFmt>
        <c:idx val="2699"/>
        <c:spPr>
          <a:solidFill>
            <a:schemeClr val="accent1"/>
          </a:solidFill>
          <a:ln w="19050">
            <a:solidFill>
              <a:schemeClr val="lt1"/>
            </a:solidFill>
          </a:ln>
          <a:effectLst/>
        </c:spPr>
      </c:pivotFmt>
      <c:pivotFmt>
        <c:idx val="2700"/>
        <c:spPr>
          <a:solidFill>
            <a:schemeClr val="accent1"/>
          </a:solidFill>
          <a:ln w="19050">
            <a:solidFill>
              <a:schemeClr val="lt1"/>
            </a:solidFill>
          </a:ln>
          <a:effectLst/>
        </c:spPr>
      </c:pivotFmt>
      <c:pivotFmt>
        <c:idx val="2701"/>
        <c:spPr>
          <a:solidFill>
            <a:schemeClr val="accent1"/>
          </a:solidFill>
          <a:ln w="19050">
            <a:solidFill>
              <a:schemeClr val="lt1"/>
            </a:solidFill>
          </a:ln>
          <a:effectLst/>
        </c:spPr>
      </c:pivotFmt>
      <c:pivotFmt>
        <c:idx val="2702"/>
        <c:spPr>
          <a:solidFill>
            <a:schemeClr val="accent1"/>
          </a:solidFill>
          <a:ln w="19050">
            <a:solidFill>
              <a:schemeClr val="lt1"/>
            </a:solidFill>
          </a:ln>
          <a:effectLst/>
        </c:spPr>
      </c:pivotFmt>
      <c:pivotFmt>
        <c:idx val="2703"/>
        <c:spPr>
          <a:solidFill>
            <a:schemeClr val="accent1"/>
          </a:solidFill>
          <a:ln w="19050">
            <a:solidFill>
              <a:schemeClr val="lt1"/>
            </a:solidFill>
          </a:ln>
          <a:effectLst/>
        </c:spPr>
      </c:pivotFmt>
      <c:pivotFmt>
        <c:idx val="2704"/>
        <c:spPr>
          <a:solidFill>
            <a:schemeClr val="accent1"/>
          </a:solidFill>
          <a:ln w="19050">
            <a:solidFill>
              <a:schemeClr val="lt1"/>
            </a:solidFill>
          </a:ln>
          <a:effectLst/>
        </c:spPr>
      </c:pivotFmt>
      <c:pivotFmt>
        <c:idx val="2705"/>
        <c:spPr>
          <a:solidFill>
            <a:schemeClr val="accent1"/>
          </a:solidFill>
          <a:ln w="19050">
            <a:solidFill>
              <a:schemeClr val="lt1"/>
            </a:solidFill>
          </a:ln>
          <a:effectLst/>
        </c:spPr>
      </c:pivotFmt>
      <c:pivotFmt>
        <c:idx val="2706"/>
        <c:spPr>
          <a:solidFill>
            <a:schemeClr val="accent1"/>
          </a:solidFill>
          <a:ln w="19050">
            <a:solidFill>
              <a:schemeClr val="lt1"/>
            </a:solidFill>
          </a:ln>
          <a:effectLst/>
        </c:spPr>
      </c:pivotFmt>
      <c:pivotFmt>
        <c:idx val="2707"/>
        <c:spPr>
          <a:solidFill>
            <a:schemeClr val="accent1"/>
          </a:solidFill>
          <a:ln w="19050">
            <a:solidFill>
              <a:schemeClr val="lt1"/>
            </a:solidFill>
          </a:ln>
          <a:effectLst/>
        </c:spPr>
      </c:pivotFmt>
      <c:pivotFmt>
        <c:idx val="2708"/>
        <c:spPr>
          <a:solidFill>
            <a:schemeClr val="accent1"/>
          </a:solidFill>
          <a:ln w="19050">
            <a:solidFill>
              <a:schemeClr val="lt1"/>
            </a:solidFill>
          </a:ln>
          <a:effectLst/>
        </c:spPr>
      </c:pivotFmt>
      <c:pivotFmt>
        <c:idx val="27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0"/>
        <c:spPr>
          <a:solidFill>
            <a:schemeClr val="accent1"/>
          </a:solidFill>
          <a:ln w="19050">
            <a:solidFill>
              <a:schemeClr val="lt1"/>
            </a:solidFill>
          </a:ln>
          <a:effectLst/>
        </c:spPr>
      </c:pivotFmt>
      <c:pivotFmt>
        <c:idx val="2711"/>
        <c:spPr>
          <a:solidFill>
            <a:schemeClr val="accent1"/>
          </a:solidFill>
          <a:ln w="19050">
            <a:solidFill>
              <a:schemeClr val="lt1"/>
            </a:solidFill>
          </a:ln>
          <a:effectLst/>
        </c:spPr>
      </c:pivotFmt>
      <c:pivotFmt>
        <c:idx val="2712"/>
        <c:spPr>
          <a:solidFill>
            <a:schemeClr val="accent1"/>
          </a:solidFill>
          <a:ln w="19050">
            <a:solidFill>
              <a:schemeClr val="lt1"/>
            </a:solidFill>
          </a:ln>
          <a:effectLst/>
        </c:spPr>
      </c:pivotFmt>
      <c:pivotFmt>
        <c:idx val="2713"/>
        <c:spPr>
          <a:solidFill>
            <a:schemeClr val="accent1"/>
          </a:solidFill>
          <a:ln w="19050">
            <a:solidFill>
              <a:schemeClr val="lt1"/>
            </a:solidFill>
          </a:ln>
          <a:effectLst/>
        </c:spPr>
      </c:pivotFmt>
      <c:pivotFmt>
        <c:idx val="2714"/>
        <c:spPr>
          <a:solidFill>
            <a:schemeClr val="accent1"/>
          </a:solidFill>
          <a:ln w="19050">
            <a:solidFill>
              <a:schemeClr val="lt1"/>
            </a:solidFill>
          </a:ln>
          <a:effectLst/>
        </c:spPr>
      </c:pivotFmt>
      <c:pivotFmt>
        <c:idx val="2715"/>
        <c:spPr>
          <a:solidFill>
            <a:schemeClr val="accent1"/>
          </a:solidFill>
          <a:ln w="19050">
            <a:solidFill>
              <a:schemeClr val="lt1"/>
            </a:solidFill>
          </a:ln>
          <a:effectLst/>
        </c:spPr>
      </c:pivotFmt>
      <c:pivotFmt>
        <c:idx val="2716"/>
        <c:spPr>
          <a:solidFill>
            <a:schemeClr val="accent1"/>
          </a:solidFill>
          <a:ln w="19050">
            <a:solidFill>
              <a:schemeClr val="lt1"/>
            </a:solidFill>
          </a:ln>
          <a:effectLst/>
        </c:spPr>
      </c:pivotFmt>
      <c:pivotFmt>
        <c:idx val="2717"/>
        <c:spPr>
          <a:solidFill>
            <a:schemeClr val="accent1"/>
          </a:solidFill>
          <a:ln w="19050">
            <a:solidFill>
              <a:schemeClr val="lt1"/>
            </a:solidFill>
          </a:ln>
          <a:effectLst/>
        </c:spPr>
      </c:pivotFmt>
      <c:pivotFmt>
        <c:idx val="2718"/>
        <c:spPr>
          <a:solidFill>
            <a:schemeClr val="accent1"/>
          </a:solidFill>
          <a:ln w="19050">
            <a:solidFill>
              <a:schemeClr val="lt1"/>
            </a:solidFill>
          </a:ln>
          <a:effectLst/>
        </c:spPr>
      </c:pivotFmt>
      <c:pivotFmt>
        <c:idx val="2719"/>
        <c:spPr>
          <a:solidFill>
            <a:schemeClr val="accent1"/>
          </a:solidFill>
          <a:ln w="19050">
            <a:solidFill>
              <a:schemeClr val="lt1"/>
            </a:solidFill>
          </a:ln>
          <a:effectLst/>
        </c:spPr>
      </c:pivotFmt>
      <c:pivotFmt>
        <c:idx val="2720"/>
        <c:spPr>
          <a:solidFill>
            <a:schemeClr val="accent1"/>
          </a:solidFill>
          <a:ln w="19050">
            <a:solidFill>
              <a:schemeClr val="lt1"/>
            </a:solidFill>
          </a:ln>
          <a:effectLst/>
        </c:spPr>
      </c:pivotFmt>
      <c:pivotFmt>
        <c:idx val="2721"/>
        <c:spPr>
          <a:solidFill>
            <a:schemeClr val="accent1"/>
          </a:solidFill>
          <a:ln w="19050">
            <a:solidFill>
              <a:schemeClr val="lt1"/>
            </a:solidFill>
          </a:ln>
          <a:effectLst/>
        </c:spPr>
      </c:pivotFmt>
      <c:pivotFmt>
        <c:idx val="2722"/>
        <c:spPr>
          <a:solidFill>
            <a:schemeClr val="accent1"/>
          </a:solidFill>
          <a:ln w="19050">
            <a:solidFill>
              <a:schemeClr val="lt1"/>
            </a:solidFill>
          </a:ln>
          <a:effectLst/>
        </c:spPr>
      </c:pivotFmt>
      <c:pivotFmt>
        <c:idx val="2723"/>
        <c:spPr>
          <a:solidFill>
            <a:schemeClr val="accent1"/>
          </a:solidFill>
          <a:ln w="19050">
            <a:solidFill>
              <a:schemeClr val="lt1"/>
            </a:solidFill>
          </a:ln>
          <a:effectLst/>
        </c:spPr>
      </c:pivotFmt>
      <c:pivotFmt>
        <c:idx val="2724"/>
        <c:spPr>
          <a:solidFill>
            <a:schemeClr val="accent1"/>
          </a:solidFill>
          <a:ln w="19050">
            <a:solidFill>
              <a:schemeClr val="lt1"/>
            </a:solidFill>
          </a:ln>
          <a:effectLst/>
        </c:spPr>
      </c:pivotFmt>
      <c:pivotFmt>
        <c:idx val="2725"/>
        <c:spPr>
          <a:solidFill>
            <a:schemeClr val="accent1"/>
          </a:solidFill>
          <a:ln w="19050">
            <a:solidFill>
              <a:schemeClr val="lt1"/>
            </a:solidFill>
          </a:ln>
          <a:effectLst/>
        </c:spPr>
      </c:pivotFmt>
      <c:pivotFmt>
        <c:idx val="2726"/>
        <c:spPr>
          <a:solidFill>
            <a:schemeClr val="accent1"/>
          </a:solidFill>
          <a:ln w="19050">
            <a:solidFill>
              <a:schemeClr val="lt1"/>
            </a:solidFill>
          </a:ln>
          <a:effectLst/>
        </c:spPr>
      </c:pivotFmt>
      <c:pivotFmt>
        <c:idx val="2727"/>
        <c:spPr>
          <a:solidFill>
            <a:schemeClr val="accent1"/>
          </a:solidFill>
          <a:ln w="19050">
            <a:solidFill>
              <a:schemeClr val="lt1"/>
            </a:solidFill>
          </a:ln>
          <a:effectLst/>
        </c:spPr>
      </c:pivotFmt>
      <c:pivotFmt>
        <c:idx val="2728"/>
        <c:spPr>
          <a:solidFill>
            <a:schemeClr val="accent1"/>
          </a:solidFill>
          <a:ln w="19050">
            <a:solidFill>
              <a:schemeClr val="lt1"/>
            </a:solidFill>
          </a:ln>
          <a:effectLst/>
        </c:spPr>
      </c:pivotFmt>
      <c:pivotFmt>
        <c:idx val="2729"/>
        <c:spPr>
          <a:solidFill>
            <a:schemeClr val="accent1"/>
          </a:solidFill>
          <a:ln w="19050">
            <a:solidFill>
              <a:schemeClr val="lt1"/>
            </a:solidFill>
          </a:ln>
          <a:effectLst/>
        </c:spPr>
      </c:pivotFmt>
      <c:pivotFmt>
        <c:idx val="2730"/>
        <c:spPr>
          <a:solidFill>
            <a:schemeClr val="accent1"/>
          </a:solidFill>
          <a:ln w="19050">
            <a:solidFill>
              <a:schemeClr val="lt1"/>
            </a:solidFill>
          </a:ln>
          <a:effectLst/>
        </c:spPr>
      </c:pivotFmt>
      <c:pivotFmt>
        <c:idx val="2731"/>
        <c:spPr>
          <a:solidFill>
            <a:schemeClr val="accent1"/>
          </a:solidFill>
          <a:ln w="19050">
            <a:solidFill>
              <a:schemeClr val="lt1"/>
            </a:solidFill>
          </a:ln>
          <a:effectLst/>
        </c:spPr>
      </c:pivotFmt>
      <c:pivotFmt>
        <c:idx val="2732"/>
        <c:spPr>
          <a:solidFill>
            <a:schemeClr val="accent1"/>
          </a:solidFill>
          <a:ln w="19050">
            <a:solidFill>
              <a:schemeClr val="lt1"/>
            </a:solidFill>
          </a:ln>
          <a:effectLst/>
        </c:spPr>
      </c:pivotFmt>
      <c:pivotFmt>
        <c:idx val="2733"/>
        <c:spPr>
          <a:solidFill>
            <a:schemeClr val="accent1"/>
          </a:solidFill>
          <a:ln w="19050">
            <a:solidFill>
              <a:schemeClr val="lt1"/>
            </a:solidFill>
          </a:ln>
          <a:effectLst/>
        </c:spPr>
      </c:pivotFmt>
      <c:pivotFmt>
        <c:idx val="2734"/>
        <c:spPr>
          <a:solidFill>
            <a:schemeClr val="accent1"/>
          </a:solidFill>
          <a:ln w="19050">
            <a:solidFill>
              <a:schemeClr val="lt1"/>
            </a:solidFill>
          </a:ln>
          <a:effectLst/>
        </c:spPr>
      </c:pivotFmt>
      <c:pivotFmt>
        <c:idx val="2735"/>
        <c:spPr>
          <a:solidFill>
            <a:schemeClr val="accent1"/>
          </a:solidFill>
          <a:ln w="19050">
            <a:solidFill>
              <a:schemeClr val="lt1"/>
            </a:solidFill>
          </a:ln>
          <a:effectLst/>
        </c:spPr>
      </c:pivotFmt>
      <c:pivotFmt>
        <c:idx val="27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7"/>
        <c:spPr>
          <a:solidFill>
            <a:schemeClr val="accent1"/>
          </a:solidFill>
          <a:ln w="19050">
            <a:solidFill>
              <a:schemeClr val="lt1"/>
            </a:solidFill>
          </a:ln>
          <a:effectLst/>
        </c:spPr>
      </c:pivotFmt>
      <c:pivotFmt>
        <c:idx val="2738"/>
        <c:spPr>
          <a:solidFill>
            <a:schemeClr val="accent1"/>
          </a:solidFill>
          <a:ln w="19050">
            <a:solidFill>
              <a:schemeClr val="lt1"/>
            </a:solidFill>
          </a:ln>
          <a:effectLst/>
        </c:spPr>
      </c:pivotFmt>
      <c:pivotFmt>
        <c:idx val="2739"/>
        <c:spPr>
          <a:solidFill>
            <a:schemeClr val="accent1"/>
          </a:solidFill>
          <a:ln w="19050">
            <a:solidFill>
              <a:schemeClr val="lt1"/>
            </a:solidFill>
          </a:ln>
          <a:effectLst/>
        </c:spPr>
      </c:pivotFmt>
      <c:pivotFmt>
        <c:idx val="2740"/>
        <c:spPr>
          <a:solidFill>
            <a:schemeClr val="accent1"/>
          </a:solidFill>
          <a:ln w="19050">
            <a:solidFill>
              <a:schemeClr val="lt1"/>
            </a:solidFill>
          </a:ln>
          <a:effectLst/>
        </c:spPr>
      </c:pivotFmt>
      <c:pivotFmt>
        <c:idx val="2741"/>
        <c:spPr>
          <a:solidFill>
            <a:schemeClr val="accent1"/>
          </a:solidFill>
          <a:ln w="19050">
            <a:solidFill>
              <a:schemeClr val="lt1"/>
            </a:solidFill>
          </a:ln>
          <a:effectLst/>
        </c:spPr>
      </c:pivotFmt>
      <c:pivotFmt>
        <c:idx val="2742"/>
        <c:spPr>
          <a:solidFill>
            <a:schemeClr val="accent1"/>
          </a:solidFill>
          <a:ln w="19050">
            <a:solidFill>
              <a:schemeClr val="lt1"/>
            </a:solidFill>
          </a:ln>
          <a:effectLst/>
        </c:spPr>
      </c:pivotFmt>
      <c:pivotFmt>
        <c:idx val="2743"/>
        <c:spPr>
          <a:solidFill>
            <a:schemeClr val="accent1"/>
          </a:solidFill>
          <a:ln w="19050">
            <a:solidFill>
              <a:schemeClr val="lt1"/>
            </a:solidFill>
          </a:ln>
          <a:effectLst/>
        </c:spPr>
      </c:pivotFmt>
      <c:pivotFmt>
        <c:idx val="2744"/>
        <c:spPr>
          <a:solidFill>
            <a:schemeClr val="accent1"/>
          </a:solidFill>
          <a:ln w="19050">
            <a:solidFill>
              <a:schemeClr val="lt1"/>
            </a:solidFill>
          </a:ln>
          <a:effectLst/>
        </c:spPr>
      </c:pivotFmt>
      <c:pivotFmt>
        <c:idx val="2745"/>
        <c:spPr>
          <a:solidFill>
            <a:schemeClr val="accent1"/>
          </a:solidFill>
          <a:ln w="19050">
            <a:solidFill>
              <a:schemeClr val="lt1"/>
            </a:solidFill>
          </a:ln>
          <a:effectLst/>
        </c:spPr>
      </c:pivotFmt>
      <c:pivotFmt>
        <c:idx val="2746"/>
        <c:spPr>
          <a:solidFill>
            <a:schemeClr val="accent1"/>
          </a:solidFill>
          <a:ln w="19050">
            <a:solidFill>
              <a:schemeClr val="lt1"/>
            </a:solidFill>
          </a:ln>
          <a:effectLst/>
        </c:spPr>
      </c:pivotFmt>
      <c:pivotFmt>
        <c:idx val="2747"/>
        <c:spPr>
          <a:solidFill>
            <a:schemeClr val="accent1"/>
          </a:solidFill>
          <a:ln w="19050">
            <a:solidFill>
              <a:schemeClr val="lt1"/>
            </a:solidFill>
          </a:ln>
          <a:effectLst/>
        </c:spPr>
      </c:pivotFmt>
      <c:pivotFmt>
        <c:idx val="2748"/>
        <c:spPr>
          <a:solidFill>
            <a:schemeClr val="accent1"/>
          </a:solidFill>
          <a:ln w="19050">
            <a:solidFill>
              <a:schemeClr val="lt1"/>
            </a:solidFill>
          </a:ln>
          <a:effectLst/>
        </c:spPr>
      </c:pivotFmt>
      <c:pivotFmt>
        <c:idx val="2749"/>
        <c:spPr>
          <a:solidFill>
            <a:schemeClr val="accent1"/>
          </a:solidFill>
          <a:ln w="19050">
            <a:solidFill>
              <a:schemeClr val="lt1"/>
            </a:solidFill>
          </a:ln>
          <a:effectLst/>
        </c:spPr>
      </c:pivotFmt>
      <c:pivotFmt>
        <c:idx val="2750"/>
        <c:spPr>
          <a:solidFill>
            <a:schemeClr val="accent1"/>
          </a:solidFill>
          <a:ln w="19050">
            <a:solidFill>
              <a:schemeClr val="lt1"/>
            </a:solidFill>
          </a:ln>
          <a:effectLst/>
        </c:spPr>
      </c:pivotFmt>
      <c:pivotFmt>
        <c:idx val="2751"/>
        <c:spPr>
          <a:solidFill>
            <a:schemeClr val="accent1"/>
          </a:solidFill>
          <a:ln w="19050">
            <a:solidFill>
              <a:schemeClr val="lt1"/>
            </a:solidFill>
          </a:ln>
          <a:effectLst/>
        </c:spPr>
      </c:pivotFmt>
      <c:pivotFmt>
        <c:idx val="2752"/>
        <c:spPr>
          <a:solidFill>
            <a:schemeClr val="accent1"/>
          </a:solidFill>
          <a:ln w="19050">
            <a:solidFill>
              <a:schemeClr val="lt1"/>
            </a:solidFill>
          </a:ln>
          <a:effectLst/>
        </c:spPr>
      </c:pivotFmt>
      <c:pivotFmt>
        <c:idx val="2753"/>
        <c:spPr>
          <a:solidFill>
            <a:schemeClr val="accent1"/>
          </a:solidFill>
          <a:ln w="19050">
            <a:solidFill>
              <a:schemeClr val="lt1"/>
            </a:solidFill>
          </a:ln>
          <a:effectLst/>
        </c:spPr>
      </c:pivotFmt>
      <c:pivotFmt>
        <c:idx val="2754"/>
        <c:spPr>
          <a:solidFill>
            <a:schemeClr val="accent1"/>
          </a:solidFill>
          <a:ln w="19050">
            <a:solidFill>
              <a:schemeClr val="lt1"/>
            </a:solidFill>
          </a:ln>
          <a:effectLst/>
        </c:spPr>
      </c:pivotFmt>
      <c:pivotFmt>
        <c:idx val="2755"/>
        <c:spPr>
          <a:solidFill>
            <a:schemeClr val="accent1"/>
          </a:solidFill>
          <a:ln w="19050">
            <a:solidFill>
              <a:schemeClr val="lt1"/>
            </a:solidFill>
          </a:ln>
          <a:effectLst/>
        </c:spPr>
      </c:pivotFmt>
      <c:pivotFmt>
        <c:idx val="2756"/>
        <c:spPr>
          <a:solidFill>
            <a:schemeClr val="accent1"/>
          </a:solidFill>
          <a:ln w="19050">
            <a:solidFill>
              <a:schemeClr val="lt1"/>
            </a:solidFill>
          </a:ln>
          <a:effectLst/>
        </c:spPr>
      </c:pivotFmt>
      <c:pivotFmt>
        <c:idx val="2757"/>
        <c:spPr>
          <a:solidFill>
            <a:schemeClr val="accent1"/>
          </a:solidFill>
          <a:ln w="19050">
            <a:solidFill>
              <a:schemeClr val="lt1"/>
            </a:solidFill>
          </a:ln>
          <a:effectLst/>
        </c:spPr>
      </c:pivotFmt>
      <c:pivotFmt>
        <c:idx val="2758"/>
        <c:spPr>
          <a:solidFill>
            <a:schemeClr val="accent1"/>
          </a:solidFill>
          <a:ln w="19050">
            <a:solidFill>
              <a:schemeClr val="lt1"/>
            </a:solidFill>
          </a:ln>
          <a:effectLst/>
        </c:spPr>
      </c:pivotFmt>
      <c:pivotFmt>
        <c:idx val="2759"/>
        <c:spPr>
          <a:solidFill>
            <a:schemeClr val="accent1"/>
          </a:solidFill>
          <a:ln w="19050">
            <a:solidFill>
              <a:schemeClr val="lt1"/>
            </a:solidFill>
          </a:ln>
          <a:effectLst/>
        </c:spPr>
      </c:pivotFmt>
      <c:pivotFmt>
        <c:idx val="2760"/>
        <c:spPr>
          <a:solidFill>
            <a:schemeClr val="accent1"/>
          </a:solidFill>
          <a:ln w="19050">
            <a:solidFill>
              <a:schemeClr val="lt1"/>
            </a:solidFill>
          </a:ln>
          <a:effectLst/>
        </c:spPr>
      </c:pivotFmt>
      <c:pivotFmt>
        <c:idx val="2761"/>
        <c:spPr>
          <a:solidFill>
            <a:schemeClr val="accent1"/>
          </a:solidFill>
          <a:ln w="19050">
            <a:solidFill>
              <a:schemeClr val="lt1"/>
            </a:solidFill>
          </a:ln>
          <a:effectLst/>
        </c:spPr>
      </c:pivotFmt>
      <c:pivotFmt>
        <c:idx val="2762"/>
        <c:spPr>
          <a:solidFill>
            <a:schemeClr val="accent1"/>
          </a:solidFill>
          <a:ln w="19050">
            <a:solidFill>
              <a:schemeClr val="lt1"/>
            </a:solidFill>
          </a:ln>
          <a:effectLst/>
        </c:spPr>
      </c:pivotFmt>
      <c:pivotFmt>
        <c:idx val="27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4"/>
        <c:spPr>
          <a:solidFill>
            <a:schemeClr val="accent1"/>
          </a:solidFill>
          <a:ln w="19050">
            <a:solidFill>
              <a:schemeClr val="lt1"/>
            </a:solidFill>
          </a:ln>
          <a:effectLst/>
        </c:spPr>
      </c:pivotFmt>
      <c:pivotFmt>
        <c:idx val="2765"/>
        <c:spPr>
          <a:solidFill>
            <a:schemeClr val="accent1"/>
          </a:solidFill>
          <a:ln w="19050">
            <a:solidFill>
              <a:schemeClr val="lt1"/>
            </a:solidFill>
          </a:ln>
          <a:effectLst/>
        </c:spPr>
      </c:pivotFmt>
      <c:pivotFmt>
        <c:idx val="2766"/>
        <c:spPr>
          <a:solidFill>
            <a:schemeClr val="accent1"/>
          </a:solidFill>
          <a:ln w="19050">
            <a:solidFill>
              <a:schemeClr val="lt1"/>
            </a:solidFill>
          </a:ln>
          <a:effectLst/>
        </c:spPr>
      </c:pivotFmt>
      <c:pivotFmt>
        <c:idx val="2767"/>
        <c:spPr>
          <a:solidFill>
            <a:schemeClr val="accent1"/>
          </a:solidFill>
          <a:ln w="19050">
            <a:solidFill>
              <a:schemeClr val="lt1"/>
            </a:solidFill>
          </a:ln>
          <a:effectLst/>
        </c:spPr>
      </c:pivotFmt>
      <c:pivotFmt>
        <c:idx val="2768"/>
        <c:spPr>
          <a:solidFill>
            <a:schemeClr val="accent1"/>
          </a:solidFill>
          <a:ln w="19050">
            <a:solidFill>
              <a:schemeClr val="lt1"/>
            </a:solidFill>
          </a:ln>
          <a:effectLst/>
        </c:spPr>
      </c:pivotFmt>
      <c:pivotFmt>
        <c:idx val="2769"/>
        <c:spPr>
          <a:solidFill>
            <a:schemeClr val="accent1"/>
          </a:solidFill>
          <a:ln w="19050">
            <a:solidFill>
              <a:schemeClr val="lt1"/>
            </a:solidFill>
          </a:ln>
          <a:effectLst/>
        </c:spPr>
      </c:pivotFmt>
      <c:pivotFmt>
        <c:idx val="2770"/>
        <c:spPr>
          <a:solidFill>
            <a:schemeClr val="accent1"/>
          </a:solidFill>
          <a:ln w="19050">
            <a:solidFill>
              <a:schemeClr val="lt1"/>
            </a:solidFill>
          </a:ln>
          <a:effectLst/>
        </c:spPr>
      </c:pivotFmt>
      <c:pivotFmt>
        <c:idx val="2771"/>
        <c:spPr>
          <a:solidFill>
            <a:schemeClr val="accent1"/>
          </a:solidFill>
          <a:ln w="19050">
            <a:solidFill>
              <a:schemeClr val="lt1"/>
            </a:solidFill>
          </a:ln>
          <a:effectLst/>
        </c:spPr>
      </c:pivotFmt>
      <c:pivotFmt>
        <c:idx val="2772"/>
        <c:spPr>
          <a:solidFill>
            <a:schemeClr val="accent1"/>
          </a:solidFill>
          <a:ln w="19050">
            <a:solidFill>
              <a:schemeClr val="lt1"/>
            </a:solidFill>
          </a:ln>
          <a:effectLst/>
        </c:spPr>
      </c:pivotFmt>
      <c:pivotFmt>
        <c:idx val="2773"/>
        <c:spPr>
          <a:solidFill>
            <a:schemeClr val="accent1"/>
          </a:solidFill>
          <a:ln w="19050">
            <a:solidFill>
              <a:schemeClr val="lt1"/>
            </a:solidFill>
          </a:ln>
          <a:effectLst/>
        </c:spPr>
      </c:pivotFmt>
      <c:pivotFmt>
        <c:idx val="2774"/>
        <c:spPr>
          <a:solidFill>
            <a:schemeClr val="accent1"/>
          </a:solidFill>
          <a:ln w="19050">
            <a:solidFill>
              <a:schemeClr val="lt1"/>
            </a:solidFill>
          </a:ln>
          <a:effectLst/>
        </c:spPr>
      </c:pivotFmt>
      <c:pivotFmt>
        <c:idx val="2775"/>
        <c:spPr>
          <a:solidFill>
            <a:schemeClr val="accent1"/>
          </a:solidFill>
          <a:ln w="19050">
            <a:solidFill>
              <a:schemeClr val="lt1"/>
            </a:solidFill>
          </a:ln>
          <a:effectLst/>
        </c:spPr>
      </c:pivotFmt>
      <c:pivotFmt>
        <c:idx val="2776"/>
        <c:spPr>
          <a:solidFill>
            <a:schemeClr val="accent1"/>
          </a:solidFill>
          <a:ln w="19050">
            <a:solidFill>
              <a:schemeClr val="lt1"/>
            </a:solidFill>
          </a:ln>
          <a:effectLst/>
        </c:spPr>
      </c:pivotFmt>
      <c:pivotFmt>
        <c:idx val="2777"/>
        <c:spPr>
          <a:solidFill>
            <a:schemeClr val="accent1"/>
          </a:solidFill>
          <a:ln w="19050">
            <a:solidFill>
              <a:schemeClr val="lt1"/>
            </a:solidFill>
          </a:ln>
          <a:effectLst/>
        </c:spPr>
      </c:pivotFmt>
      <c:pivotFmt>
        <c:idx val="2778"/>
        <c:spPr>
          <a:solidFill>
            <a:schemeClr val="accent1"/>
          </a:solidFill>
          <a:ln w="19050">
            <a:solidFill>
              <a:schemeClr val="lt1"/>
            </a:solidFill>
          </a:ln>
          <a:effectLst/>
        </c:spPr>
      </c:pivotFmt>
      <c:pivotFmt>
        <c:idx val="2779"/>
        <c:spPr>
          <a:solidFill>
            <a:schemeClr val="accent1"/>
          </a:solidFill>
          <a:ln w="19050">
            <a:solidFill>
              <a:schemeClr val="lt1"/>
            </a:solidFill>
          </a:ln>
          <a:effectLst/>
        </c:spPr>
      </c:pivotFmt>
      <c:pivotFmt>
        <c:idx val="2780"/>
        <c:spPr>
          <a:solidFill>
            <a:schemeClr val="accent1"/>
          </a:solidFill>
          <a:ln w="19050">
            <a:solidFill>
              <a:schemeClr val="lt1"/>
            </a:solidFill>
          </a:ln>
          <a:effectLst/>
        </c:spPr>
      </c:pivotFmt>
      <c:pivotFmt>
        <c:idx val="2781"/>
        <c:spPr>
          <a:solidFill>
            <a:schemeClr val="accent1"/>
          </a:solidFill>
          <a:ln w="19050">
            <a:solidFill>
              <a:schemeClr val="lt1"/>
            </a:solidFill>
          </a:ln>
          <a:effectLst/>
        </c:spPr>
      </c:pivotFmt>
      <c:pivotFmt>
        <c:idx val="2782"/>
        <c:spPr>
          <a:solidFill>
            <a:schemeClr val="accent1"/>
          </a:solidFill>
          <a:ln w="19050">
            <a:solidFill>
              <a:schemeClr val="lt1"/>
            </a:solidFill>
          </a:ln>
          <a:effectLst/>
        </c:spPr>
      </c:pivotFmt>
      <c:pivotFmt>
        <c:idx val="2783"/>
        <c:spPr>
          <a:solidFill>
            <a:schemeClr val="accent1"/>
          </a:solidFill>
          <a:ln w="19050">
            <a:solidFill>
              <a:schemeClr val="lt1"/>
            </a:solidFill>
          </a:ln>
          <a:effectLst/>
        </c:spPr>
      </c:pivotFmt>
      <c:pivotFmt>
        <c:idx val="2784"/>
        <c:spPr>
          <a:solidFill>
            <a:schemeClr val="accent1"/>
          </a:solidFill>
          <a:ln w="19050">
            <a:solidFill>
              <a:schemeClr val="lt1"/>
            </a:solidFill>
          </a:ln>
          <a:effectLst/>
        </c:spPr>
      </c:pivotFmt>
      <c:pivotFmt>
        <c:idx val="2785"/>
        <c:spPr>
          <a:solidFill>
            <a:schemeClr val="accent1"/>
          </a:solidFill>
          <a:ln w="19050">
            <a:solidFill>
              <a:schemeClr val="lt1"/>
            </a:solidFill>
          </a:ln>
          <a:effectLst/>
        </c:spPr>
      </c:pivotFmt>
      <c:pivotFmt>
        <c:idx val="2786"/>
        <c:spPr>
          <a:solidFill>
            <a:schemeClr val="accent1"/>
          </a:solidFill>
          <a:ln w="19050">
            <a:solidFill>
              <a:schemeClr val="lt1"/>
            </a:solidFill>
          </a:ln>
          <a:effectLst/>
        </c:spPr>
      </c:pivotFmt>
      <c:pivotFmt>
        <c:idx val="2787"/>
        <c:spPr>
          <a:solidFill>
            <a:schemeClr val="accent1"/>
          </a:solidFill>
          <a:ln w="19050">
            <a:solidFill>
              <a:schemeClr val="lt1"/>
            </a:solidFill>
          </a:ln>
          <a:effectLst/>
        </c:spPr>
      </c:pivotFmt>
      <c:pivotFmt>
        <c:idx val="2788"/>
        <c:spPr>
          <a:solidFill>
            <a:schemeClr val="accent1"/>
          </a:solidFill>
          <a:ln w="19050">
            <a:solidFill>
              <a:schemeClr val="lt1"/>
            </a:solidFill>
          </a:ln>
          <a:effectLst/>
        </c:spPr>
      </c:pivotFmt>
      <c:pivotFmt>
        <c:idx val="2789"/>
        <c:spPr>
          <a:solidFill>
            <a:schemeClr val="accent1"/>
          </a:solidFill>
          <a:ln w="19050">
            <a:solidFill>
              <a:schemeClr val="lt1"/>
            </a:solidFill>
          </a:ln>
          <a:effectLst/>
        </c:spPr>
      </c:pivotFmt>
      <c:pivotFmt>
        <c:idx val="27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Pivot.'!$B$3:$B$5</c:f>
              <c:strCache>
                <c:ptCount val="1"/>
                <c:pt idx="0">
                  <c:v>18 - Sum of weight_sold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B2-4F49-A39D-4FC1DB88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B2-4F49-A39D-4FC1DB88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B2-4F49-A39D-4FC1DB8848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B2-4F49-A39D-4FC1DB8848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B2-4F49-A39D-4FC1DB8848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B2-4F49-A39D-4FC1DB8848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B2-4F49-A39D-4FC1DB8848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6B2-4F49-A39D-4FC1DB8848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6B2-4F49-A39D-4FC1DB8848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6B2-4F49-A39D-4FC1DB8848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6B2-4F49-A39D-4FC1DB8848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6B2-4F49-A39D-4FC1DB8848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6B2-4F49-A39D-4FC1DB8848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6B2-4F49-A39D-4FC1DB8848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6B2-4F49-A39D-4FC1DB8848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6B2-4F49-A39D-4FC1DB8848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6B2-4F49-A39D-4FC1DB8848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6B2-4F49-A39D-4FC1DB8848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6B2-4F49-A39D-4FC1DB8848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6B2-4F49-A39D-4FC1DB8848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6B2-4F49-A39D-4FC1DB8848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6B2-4F49-A39D-4FC1DB8848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6B2-4F49-A39D-4FC1DB8848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6B2-4F49-A39D-4FC1DB8848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6B2-4F49-A39D-4FC1DB8848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6B2-4F49-A39D-4FC1DB884892}"/>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Pivot.'!$B$6:$B$32</c:f>
              <c:numCache>
                <c:formatCode>General</c:formatCode>
                <c:ptCount val="26"/>
                <c:pt idx="5">
                  <c:v>8.9</c:v>
                </c:pt>
                <c:pt idx="8">
                  <c:v>11.830000000000002</c:v>
                </c:pt>
                <c:pt idx="11">
                  <c:v>9.379999999999999</c:v>
                </c:pt>
                <c:pt idx="15">
                  <c:v>16.86</c:v>
                </c:pt>
                <c:pt idx="17">
                  <c:v>9</c:v>
                </c:pt>
                <c:pt idx="19">
                  <c:v>27.600000000000122</c:v>
                </c:pt>
                <c:pt idx="20">
                  <c:v>27.549999999999997</c:v>
                </c:pt>
                <c:pt idx="25">
                  <c:v>13.85</c:v>
                </c:pt>
              </c:numCache>
            </c:numRef>
          </c:val>
          <c:extLst>
            <c:ext xmlns:c16="http://schemas.microsoft.com/office/drawing/2014/chart" uri="{C3380CC4-5D6E-409C-BE32-E72D297353CC}">
              <c16:uniqueId val="{00000034-66B2-4F49-A39D-4FC1DB884892}"/>
            </c:ext>
          </c:extLst>
        </c:ser>
        <c:ser>
          <c:idx val="1"/>
          <c:order val="1"/>
          <c:tx>
            <c:strRef>
              <c:f>'Product Pivot.'!$C$3:$C$5</c:f>
              <c:strCache>
                <c:ptCount val="1"/>
                <c:pt idx="0">
                  <c:v>18 - 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6-66B2-4F49-A39D-4FC1DB88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8-66B2-4F49-A39D-4FC1DB88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A-66B2-4F49-A39D-4FC1DB8848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C-66B2-4F49-A39D-4FC1DB8848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E-66B2-4F49-A39D-4FC1DB8848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0-66B2-4F49-A39D-4FC1DB8848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2-66B2-4F49-A39D-4FC1DB8848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4-66B2-4F49-A39D-4FC1DB8848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6-66B2-4F49-A39D-4FC1DB8848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8-66B2-4F49-A39D-4FC1DB8848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A-66B2-4F49-A39D-4FC1DB8848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C-66B2-4F49-A39D-4FC1DB8848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E-66B2-4F49-A39D-4FC1DB8848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0-66B2-4F49-A39D-4FC1DB8848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2-66B2-4F49-A39D-4FC1DB8848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4-66B2-4F49-A39D-4FC1DB8848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6-66B2-4F49-A39D-4FC1DB8848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8-66B2-4F49-A39D-4FC1DB8848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A-66B2-4F49-A39D-4FC1DB8848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C-66B2-4F49-A39D-4FC1DB8848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E-66B2-4F49-A39D-4FC1DB8848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0-66B2-4F49-A39D-4FC1DB8848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2-66B2-4F49-A39D-4FC1DB8848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4-66B2-4F49-A39D-4FC1DB8848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6-66B2-4F49-A39D-4FC1DB8848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8-66B2-4F49-A39D-4FC1DB884892}"/>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Pivot.'!$C$6:$C$32</c:f>
              <c:numCache>
                <c:formatCode>General</c:formatCode>
                <c:ptCount val="26"/>
                <c:pt idx="5">
                  <c:v>2450</c:v>
                </c:pt>
                <c:pt idx="8">
                  <c:v>6290</c:v>
                </c:pt>
                <c:pt idx="11">
                  <c:v>4290</c:v>
                </c:pt>
                <c:pt idx="15">
                  <c:v>9140</c:v>
                </c:pt>
                <c:pt idx="17">
                  <c:v>3050</c:v>
                </c:pt>
                <c:pt idx="19">
                  <c:v>20951.349999999995</c:v>
                </c:pt>
                <c:pt idx="20">
                  <c:v>14491.96</c:v>
                </c:pt>
                <c:pt idx="25">
                  <c:v>5775</c:v>
                </c:pt>
              </c:numCache>
            </c:numRef>
          </c:val>
          <c:extLst>
            <c:ext xmlns:c16="http://schemas.microsoft.com/office/drawing/2014/chart" uri="{C3380CC4-5D6E-409C-BE32-E72D297353CC}">
              <c16:uniqueId val="{00000069-66B2-4F49-A39D-4FC1DB884892}"/>
            </c:ext>
          </c:extLst>
        </c:ser>
        <c:ser>
          <c:idx val="2"/>
          <c:order val="2"/>
          <c:tx>
            <c:strRef>
              <c:f>'Product Pivot.'!$D$3:$D$5</c:f>
              <c:strCache>
                <c:ptCount val="1"/>
                <c:pt idx="0">
                  <c:v>18 - Sum of making_revenue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B-66B2-4F49-A39D-4FC1DB88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D-66B2-4F49-A39D-4FC1DB88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F-66B2-4F49-A39D-4FC1DB8848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1-66B2-4F49-A39D-4FC1DB8848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3-66B2-4F49-A39D-4FC1DB8848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5-66B2-4F49-A39D-4FC1DB8848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7-66B2-4F49-A39D-4FC1DB8848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9-66B2-4F49-A39D-4FC1DB8848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B-66B2-4F49-A39D-4FC1DB8848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D-66B2-4F49-A39D-4FC1DB8848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F-66B2-4F49-A39D-4FC1DB8848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1-66B2-4F49-A39D-4FC1DB8848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3-66B2-4F49-A39D-4FC1DB8848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5-66B2-4F49-A39D-4FC1DB8848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7-66B2-4F49-A39D-4FC1DB8848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9-66B2-4F49-A39D-4FC1DB8848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B-66B2-4F49-A39D-4FC1DB8848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D-66B2-4F49-A39D-4FC1DB8848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F-66B2-4F49-A39D-4FC1DB8848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1-66B2-4F49-A39D-4FC1DB8848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3-66B2-4F49-A39D-4FC1DB8848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5-66B2-4F49-A39D-4FC1DB8848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7-66B2-4F49-A39D-4FC1DB8848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9-66B2-4F49-A39D-4FC1DB8848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B-66B2-4F49-A39D-4FC1DB8848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D-66B2-4F49-A39D-4FC1DB884892}"/>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Pivot.'!$D$6:$D$32</c:f>
              <c:numCache>
                <c:formatCode>General</c:formatCode>
                <c:ptCount val="26"/>
                <c:pt idx="5">
                  <c:v>212.13</c:v>
                </c:pt>
                <c:pt idx="8">
                  <c:v>2488.5099999999998</c:v>
                </c:pt>
                <c:pt idx="11">
                  <c:v>1448.92</c:v>
                </c:pt>
                <c:pt idx="15">
                  <c:v>3803.0699999999997</c:v>
                </c:pt>
                <c:pt idx="17">
                  <c:v>367.37</c:v>
                </c:pt>
                <c:pt idx="19">
                  <c:v>12040.929999999998</c:v>
                </c:pt>
                <c:pt idx="20">
                  <c:v>5115.74</c:v>
                </c:pt>
                <c:pt idx="25">
                  <c:v>1458.4699999999998</c:v>
                </c:pt>
              </c:numCache>
            </c:numRef>
          </c:val>
          <c:extLst>
            <c:ext xmlns:c16="http://schemas.microsoft.com/office/drawing/2014/chart" uri="{C3380CC4-5D6E-409C-BE32-E72D297353CC}">
              <c16:uniqueId val="{0000009E-66B2-4F49-A39D-4FC1DB884892}"/>
            </c:ext>
          </c:extLst>
        </c:ser>
        <c:ser>
          <c:idx val="3"/>
          <c:order val="3"/>
          <c:tx>
            <c:strRef>
              <c:f>'Product Pivot.'!$E$3:$E$5</c:f>
              <c:strCache>
                <c:ptCount val="1"/>
                <c:pt idx="0">
                  <c:v>18 - Sum of avg_metal_rate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0-66B2-4F49-A39D-4FC1DB88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2-66B2-4F49-A39D-4FC1DB88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4-66B2-4F49-A39D-4FC1DB8848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6-66B2-4F49-A39D-4FC1DB8848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8-66B2-4F49-A39D-4FC1DB8848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AA-66B2-4F49-A39D-4FC1DB8848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C-66B2-4F49-A39D-4FC1DB8848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E-66B2-4F49-A39D-4FC1DB8848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B0-66B2-4F49-A39D-4FC1DB8848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B2-66B2-4F49-A39D-4FC1DB8848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B4-66B2-4F49-A39D-4FC1DB8848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B6-66B2-4F49-A39D-4FC1DB8848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B8-66B2-4F49-A39D-4FC1DB8848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BA-66B2-4F49-A39D-4FC1DB8848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BC-66B2-4F49-A39D-4FC1DB8848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BE-66B2-4F49-A39D-4FC1DB8848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C0-66B2-4F49-A39D-4FC1DB8848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C2-66B2-4F49-A39D-4FC1DB8848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C4-66B2-4F49-A39D-4FC1DB8848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C6-66B2-4F49-A39D-4FC1DB8848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C8-66B2-4F49-A39D-4FC1DB8848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CA-66B2-4F49-A39D-4FC1DB8848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CC-66B2-4F49-A39D-4FC1DB8848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CE-66B2-4F49-A39D-4FC1DB8848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D0-66B2-4F49-A39D-4FC1DB8848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D2-66B2-4F49-A39D-4FC1DB884892}"/>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Pivot.'!$E$6:$E$32</c:f>
              <c:numCache>
                <c:formatCode>General</c:formatCode>
                <c:ptCount val="26"/>
                <c:pt idx="5">
                  <c:v>251.44499999999999</c:v>
                </c:pt>
                <c:pt idx="8">
                  <c:v>319.30211538461538</c:v>
                </c:pt>
                <c:pt idx="11">
                  <c:v>300.26333333333332</c:v>
                </c:pt>
                <c:pt idx="15">
                  <c:v>302.26972222222219</c:v>
                </c:pt>
                <c:pt idx="17">
                  <c:v>298.07</c:v>
                </c:pt>
                <c:pt idx="19">
                  <c:v>308.55133152173914</c:v>
                </c:pt>
                <c:pt idx="20">
                  <c:v>339.16223214285714</c:v>
                </c:pt>
                <c:pt idx="25">
                  <c:v>319.20666666666665</c:v>
                </c:pt>
              </c:numCache>
            </c:numRef>
          </c:val>
          <c:extLst>
            <c:ext xmlns:c16="http://schemas.microsoft.com/office/drawing/2014/chart" uri="{C3380CC4-5D6E-409C-BE32-E72D297353CC}">
              <c16:uniqueId val="{000000D3-66B2-4F49-A39D-4FC1DB884892}"/>
            </c:ext>
          </c:extLst>
        </c:ser>
        <c:ser>
          <c:idx val="4"/>
          <c:order val="4"/>
          <c:tx>
            <c:strRef>
              <c:f>'Product Pivot.'!$F$3:$F$5</c:f>
              <c:strCache>
                <c:ptCount val="1"/>
                <c:pt idx="0">
                  <c:v>18 - Sum of transaction_count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D5-66B2-4F49-A39D-4FC1DB88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D7-66B2-4F49-A39D-4FC1DB88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D9-66B2-4F49-A39D-4FC1DB8848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DB-66B2-4F49-A39D-4FC1DB8848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DD-66B2-4F49-A39D-4FC1DB8848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DF-66B2-4F49-A39D-4FC1DB8848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1-66B2-4F49-A39D-4FC1DB8848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3-66B2-4F49-A39D-4FC1DB8848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5-66B2-4F49-A39D-4FC1DB8848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7-66B2-4F49-A39D-4FC1DB8848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9-66B2-4F49-A39D-4FC1DB8848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B-66B2-4F49-A39D-4FC1DB8848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ED-66B2-4F49-A39D-4FC1DB8848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EF-66B2-4F49-A39D-4FC1DB8848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1-66B2-4F49-A39D-4FC1DB8848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3-66B2-4F49-A39D-4FC1DB8848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5-66B2-4F49-A39D-4FC1DB8848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7-66B2-4F49-A39D-4FC1DB8848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9-66B2-4F49-A39D-4FC1DB8848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B-66B2-4F49-A39D-4FC1DB8848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FD-66B2-4F49-A39D-4FC1DB8848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FF-66B2-4F49-A39D-4FC1DB8848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1-66B2-4F49-A39D-4FC1DB8848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3-66B2-4F49-A39D-4FC1DB8848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5-66B2-4F49-A39D-4FC1DB8848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7-66B2-4F49-A39D-4FC1DB884892}"/>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Pivot.'!$F$6:$F$32</c:f>
              <c:numCache>
                <c:formatCode>General</c:formatCode>
                <c:ptCount val="26"/>
                <c:pt idx="5">
                  <c:v>1</c:v>
                </c:pt>
                <c:pt idx="8">
                  <c:v>13</c:v>
                </c:pt>
                <c:pt idx="11">
                  <c:v>6</c:v>
                </c:pt>
                <c:pt idx="15">
                  <c:v>18</c:v>
                </c:pt>
                <c:pt idx="17">
                  <c:v>1</c:v>
                </c:pt>
                <c:pt idx="19">
                  <c:v>214</c:v>
                </c:pt>
                <c:pt idx="20">
                  <c:v>28</c:v>
                </c:pt>
                <c:pt idx="25">
                  <c:v>3</c:v>
                </c:pt>
              </c:numCache>
            </c:numRef>
          </c:val>
          <c:extLst>
            <c:ext xmlns:c16="http://schemas.microsoft.com/office/drawing/2014/chart" uri="{C3380CC4-5D6E-409C-BE32-E72D297353CC}">
              <c16:uniqueId val="{00000108-66B2-4F49-A39D-4FC1DB884892}"/>
            </c:ext>
          </c:extLst>
        </c:ser>
        <c:ser>
          <c:idx val="5"/>
          <c:order val="5"/>
          <c:tx>
            <c:strRef>
              <c:f>'Product Pivot.'!$G$3:$G$5</c:f>
              <c:strCache>
                <c:ptCount val="1"/>
                <c:pt idx="0">
                  <c:v>21 - Sum of weight_sold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05-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07-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09-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0B-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0D-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0F-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11-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13-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15-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17-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19-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1B-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1D-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1F-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21-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23-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25-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27-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29-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2B-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2D-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2F-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31-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33-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35-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37-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Pivot.'!$G$6:$G$32</c:f>
              <c:numCache>
                <c:formatCode>General</c:formatCode>
                <c:ptCount val="26"/>
                <c:pt idx="0">
                  <c:v>21635.280999999941</c:v>
                </c:pt>
                <c:pt idx="3">
                  <c:v>16.5</c:v>
                </c:pt>
                <c:pt idx="4">
                  <c:v>3</c:v>
                </c:pt>
                <c:pt idx="5">
                  <c:v>1365.7599999999998</c:v>
                </c:pt>
                <c:pt idx="8">
                  <c:v>20.63</c:v>
                </c:pt>
                <c:pt idx="10">
                  <c:v>20.170000000000002</c:v>
                </c:pt>
                <c:pt idx="11">
                  <c:v>330.36000000000024</c:v>
                </c:pt>
                <c:pt idx="14">
                  <c:v>23.799999999999997</c:v>
                </c:pt>
                <c:pt idx="15">
                  <c:v>203.24000000000004</c:v>
                </c:pt>
                <c:pt idx="17">
                  <c:v>1458.5000000000005</c:v>
                </c:pt>
                <c:pt idx="19">
                  <c:v>294.53000000000026</c:v>
                </c:pt>
                <c:pt idx="20">
                  <c:v>414.77899999999988</c:v>
                </c:pt>
                <c:pt idx="25">
                  <c:v>181.51000000000002</c:v>
                </c:pt>
              </c:numCache>
            </c:numRef>
          </c:val>
          <c:extLst>
            <c:ext xmlns:c16="http://schemas.microsoft.com/office/drawing/2014/chart" uri="{C3380CC4-5D6E-409C-BE32-E72D297353CC}">
              <c16:uniqueId val="{0000014B-FE2E-4A0B-8586-7F4138B9FF7D}"/>
            </c:ext>
          </c:extLst>
        </c:ser>
        <c:ser>
          <c:idx val="6"/>
          <c:order val="6"/>
          <c:tx>
            <c:strRef>
              <c:f>'Product Pivot.'!$H$3:$H$5</c:f>
              <c:strCache>
                <c:ptCount val="1"/>
                <c:pt idx="0">
                  <c:v>21 - 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39-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3B-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3D-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3F-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41-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43-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45-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47-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49-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4B-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4D-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4F-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1-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3-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55-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57-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59-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5B-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5D-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5F-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1-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3-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65-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67-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69-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6B-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Pivot.'!$H$6:$H$32</c:f>
              <c:numCache>
                <c:formatCode>General</c:formatCode>
                <c:ptCount val="26"/>
                <c:pt idx="0">
                  <c:v>7955727.2000000002</c:v>
                </c:pt>
                <c:pt idx="3">
                  <c:v>5675</c:v>
                </c:pt>
                <c:pt idx="4">
                  <c:v>1250</c:v>
                </c:pt>
                <c:pt idx="5">
                  <c:v>533734</c:v>
                </c:pt>
                <c:pt idx="8">
                  <c:v>10030</c:v>
                </c:pt>
                <c:pt idx="10">
                  <c:v>7905.18</c:v>
                </c:pt>
                <c:pt idx="11">
                  <c:v>149019</c:v>
                </c:pt>
                <c:pt idx="14">
                  <c:v>10305</c:v>
                </c:pt>
                <c:pt idx="15">
                  <c:v>90733</c:v>
                </c:pt>
                <c:pt idx="17">
                  <c:v>583520.76999999979</c:v>
                </c:pt>
                <c:pt idx="19">
                  <c:v>128229.1</c:v>
                </c:pt>
                <c:pt idx="20">
                  <c:v>178943.62</c:v>
                </c:pt>
                <c:pt idx="25">
                  <c:v>81403</c:v>
                </c:pt>
              </c:numCache>
            </c:numRef>
          </c:val>
          <c:extLst>
            <c:ext xmlns:c16="http://schemas.microsoft.com/office/drawing/2014/chart" uri="{C3380CC4-5D6E-409C-BE32-E72D297353CC}">
              <c16:uniqueId val="{0000014C-FE2E-4A0B-8586-7F4138B9FF7D}"/>
            </c:ext>
          </c:extLst>
        </c:ser>
        <c:ser>
          <c:idx val="7"/>
          <c:order val="7"/>
          <c:tx>
            <c:strRef>
              <c:f>'Product Pivot.'!$I$3:$I$5</c:f>
              <c:strCache>
                <c:ptCount val="1"/>
                <c:pt idx="0">
                  <c:v>21 - Sum of making_revenue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6D-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6F-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71-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73-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75-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77-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79-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7B-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7D-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7F-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81-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83-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85-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87-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89-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8B-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8D-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8F-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91-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93-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95-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97-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99-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9B-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9D-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9F-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Pivot.'!$I$6:$I$32</c:f>
              <c:numCache>
                <c:formatCode>General</c:formatCode>
                <c:ptCount val="26"/>
                <c:pt idx="0">
                  <c:v>64482.99000000002</c:v>
                </c:pt>
                <c:pt idx="3">
                  <c:v>20.95</c:v>
                </c:pt>
                <c:pt idx="4">
                  <c:v>317.48</c:v>
                </c:pt>
                <c:pt idx="5">
                  <c:v>29480.99</c:v>
                </c:pt>
                <c:pt idx="8">
                  <c:v>2347.04</c:v>
                </c:pt>
                <c:pt idx="10">
                  <c:v>1085.3699999999999</c:v>
                </c:pt>
                <c:pt idx="11">
                  <c:v>32269.690000000017</c:v>
                </c:pt>
                <c:pt idx="14">
                  <c:v>2175.46</c:v>
                </c:pt>
                <c:pt idx="15">
                  <c:v>19681.520000000004</c:v>
                </c:pt>
                <c:pt idx="17">
                  <c:v>68624.690000000031</c:v>
                </c:pt>
                <c:pt idx="19">
                  <c:v>21095.089999999989</c:v>
                </c:pt>
                <c:pt idx="20">
                  <c:v>39852.889999999985</c:v>
                </c:pt>
                <c:pt idx="25">
                  <c:v>20318.090000000004</c:v>
                </c:pt>
              </c:numCache>
            </c:numRef>
          </c:val>
          <c:extLst>
            <c:ext xmlns:c16="http://schemas.microsoft.com/office/drawing/2014/chart" uri="{C3380CC4-5D6E-409C-BE32-E72D297353CC}">
              <c16:uniqueId val="{0000014D-FE2E-4A0B-8586-7F4138B9FF7D}"/>
            </c:ext>
          </c:extLst>
        </c:ser>
        <c:ser>
          <c:idx val="8"/>
          <c:order val="8"/>
          <c:tx>
            <c:strRef>
              <c:f>'Product Pivot.'!$J$3:$J$5</c:f>
              <c:strCache>
                <c:ptCount val="1"/>
                <c:pt idx="0">
                  <c:v>21 - Sum of avg_metal_rate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A1-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A3-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A5-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A7-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A9-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AB-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AD-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AF-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B1-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B3-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B5-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B7-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B9-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BB-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BD-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BF-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C1-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C3-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C5-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C7-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C9-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CB-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CD-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CF-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D1-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D3-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Pivot.'!$J$6:$J$32</c:f>
              <c:numCache>
                <c:formatCode>General</c:formatCode>
                <c:ptCount val="26"/>
                <c:pt idx="0">
                  <c:v>386.91828025477764</c:v>
                </c:pt>
                <c:pt idx="3">
                  <c:v>342.67</c:v>
                </c:pt>
                <c:pt idx="4">
                  <c:v>310.83999999999997</c:v>
                </c:pt>
                <c:pt idx="5">
                  <c:v>349.76317796610164</c:v>
                </c:pt>
                <c:pt idx="8">
                  <c:v>368.29270833333339</c:v>
                </c:pt>
                <c:pt idx="10">
                  <c:v>341.92500000000001</c:v>
                </c:pt>
                <c:pt idx="11">
                  <c:v>351.9007894736842</c:v>
                </c:pt>
                <c:pt idx="14">
                  <c:v>343.26321428571424</c:v>
                </c:pt>
                <c:pt idx="15">
                  <c:v>350.43582770270268</c:v>
                </c:pt>
                <c:pt idx="17">
                  <c:v>355.03227201257874</c:v>
                </c:pt>
                <c:pt idx="19">
                  <c:v>364.26781716417912</c:v>
                </c:pt>
                <c:pt idx="20">
                  <c:v>333.7057592592592</c:v>
                </c:pt>
                <c:pt idx="25">
                  <c:v>339.20428571428556</c:v>
                </c:pt>
              </c:numCache>
            </c:numRef>
          </c:val>
          <c:extLst>
            <c:ext xmlns:c16="http://schemas.microsoft.com/office/drawing/2014/chart" uri="{C3380CC4-5D6E-409C-BE32-E72D297353CC}">
              <c16:uniqueId val="{0000014E-FE2E-4A0B-8586-7F4138B9FF7D}"/>
            </c:ext>
          </c:extLst>
        </c:ser>
        <c:ser>
          <c:idx val="9"/>
          <c:order val="9"/>
          <c:tx>
            <c:strRef>
              <c:f>'Product Pivot.'!$K$3:$K$5</c:f>
              <c:strCache>
                <c:ptCount val="1"/>
                <c:pt idx="0">
                  <c:v>21 - Sum of transaction_count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D5-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D7-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D9-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DB-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DD-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DF-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E1-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E3-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E5-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E7-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E9-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EB-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ED-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EF-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F1-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F3-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F5-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F7-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F9-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FB-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FD-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FF-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01-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03-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05-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07-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Pivot.'!$K$6:$K$32</c:f>
              <c:numCache>
                <c:formatCode>General</c:formatCode>
                <c:ptCount val="26"/>
                <c:pt idx="0">
                  <c:v>301</c:v>
                </c:pt>
                <c:pt idx="3">
                  <c:v>1</c:v>
                </c:pt>
                <c:pt idx="4">
                  <c:v>1</c:v>
                </c:pt>
                <c:pt idx="5">
                  <c:v>34</c:v>
                </c:pt>
                <c:pt idx="8">
                  <c:v>12</c:v>
                </c:pt>
                <c:pt idx="10">
                  <c:v>4</c:v>
                </c:pt>
                <c:pt idx="11">
                  <c:v>127</c:v>
                </c:pt>
                <c:pt idx="14">
                  <c:v>7</c:v>
                </c:pt>
                <c:pt idx="15">
                  <c:v>70</c:v>
                </c:pt>
                <c:pt idx="17">
                  <c:v>135</c:v>
                </c:pt>
                <c:pt idx="19">
                  <c:v>65</c:v>
                </c:pt>
                <c:pt idx="20">
                  <c:v>128</c:v>
                </c:pt>
                <c:pt idx="25">
                  <c:v>79</c:v>
                </c:pt>
              </c:numCache>
            </c:numRef>
          </c:val>
          <c:extLst>
            <c:ext xmlns:c16="http://schemas.microsoft.com/office/drawing/2014/chart" uri="{C3380CC4-5D6E-409C-BE32-E72D297353CC}">
              <c16:uniqueId val="{0000014F-FE2E-4A0B-8586-7F4138B9FF7D}"/>
            </c:ext>
          </c:extLst>
        </c:ser>
        <c:ser>
          <c:idx val="10"/>
          <c:order val="10"/>
          <c:tx>
            <c:strRef>
              <c:f>'Product Pivot.'!$L$3:$L$5</c:f>
              <c:strCache>
                <c:ptCount val="1"/>
                <c:pt idx="0">
                  <c:v>22 - Sum of weight_sold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209-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20B-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20D-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20F-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211-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213-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15-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17-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19-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1B-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1D-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1F-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21-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23-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25-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27-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29-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2B-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2D-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2F-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31-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33-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35-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37-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39-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3B-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Pivot.'!$L$6:$L$32</c:f>
              <c:numCache>
                <c:formatCode>General</c:formatCode>
                <c:ptCount val="26"/>
                <c:pt idx="1">
                  <c:v>15802.010000000004</c:v>
                </c:pt>
                <c:pt idx="3">
                  <c:v>8180.5300000000034</c:v>
                </c:pt>
                <c:pt idx="4">
                  <c:v>1555.1100000000001</c:v>
                </c:pt>
                <c:pt idx="5">
                  <c:v>80378.126000000033</c:v>
                </c:pt>
                <c:pt idx="6">
                  <c:v>331.79999999999995</c:v>
                </c:pt>
                <c:pt idx="7">
                  <c:v>1282.9699999999996</c:v>
                </c:pt>
                <c:pt idx="8">
                  <c:v>129777.90300000024</c:v>
                </c:pt>
                <c:pt idx="9">
                  <c:v>147.83000000000004</c:v>
                </c:pt>
                <c:pt idx="10">
                  <c:v>17553.18</c:v>
                </c:pt>
                <c:pt idx="11">
                  <c:v>63974.022999999899</c:v>
                </c:pt>
                <c:pt idx="13">
                  <c:v>406.27</c:v>
                </c:pt>
                <c:pt idx="14">
                  <c:v>581.46999999999991</c:v>
                </c:pt>
                <c:pt idx="15">
                  <c:v>7522.537000000013</c:v>
                </c:pt>
                <c:pt idx="16">
                  <c:v>48.429999999999993</c:v>
                </c:pt>
                <c:pt idx="17">
                  <c:v>81955.505999999892</c:v>
                </c:pt>
                <c:pt idx="18">
                  <c:v>9.7999999999999989</c:v>
                </c:pt>
                <c:pt idx="19">
                  <c:v>22543.528999999904</c:v>
                </c:pt>
                <c:pt idx="20">
                  <c:v>35445.743999999671</c:v>
                </c:pt>
                <c:pt idx="24">
                  <c:v>635.82999999999993</c:v>
                </c:pt>
                <c:pt idx="25">
                  <c:v>4584.4000000000015</c:v>
                </c:pt>
              </c:numCache>
            </c:numRef>
          </c:val>
          <c:extLst>
            <c:ext xmlns:c16="http://schemas.microsoft.com/office/drawing/2014/chart" uri="{C3380CC4-5D6E-409C-BE32-E72D297353CC}">
              <c16:uniqueId val="{00000150-FE2E-4A0B-8586-7F4138B9FF7D}"/>
            </c:ext>
          </c:extLst>
        </c:ser>
        <c:ser>
          <c:idx val="11"/>
          <c:order val="11"/>
          <c:tx>
            <c:strRef>
              <c:f>'Product Pivot.'!$M$3:$M$5</c:f>
              <c:strCache>
                <c:ptCount val="1"/>
                <c:pt idx="0">
                  <c:v>22 - 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23D-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23F-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241-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243-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245-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247-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49-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4B-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4D-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4F-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51-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53-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55-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57-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59-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5B-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5D-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5F-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61-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63-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65-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67-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69-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6B-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6D-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6F-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Pivot.'!$M$6:$M$32</c:f>
              <c:numCache>
                <c:formatCode>General</c:formatCode>
                <c:ptCount val="26"/>
                <c:pt idx="1">
                  <c:v>6004607</c:v>
                </c:pt>
                <c:pt idx="3">
                  <c:v>3580989</c:v>
                </c:pt>
                <c:pt idx="4">
                  <c:v>738098</c:v>
                </c:pt>
                <c:pt idx="5">
                  <c:v>35472721.5</c:v>
                </c:pt>
                <c:pt idx="6">
                  <c:v>147451</c:v>
                </c:pt>
                <c:pt idx="7">
                  <c:v>577485</c:v>
                </c:pt>
                <c:pt idx="8">
                  <c:v>57208828.530000001</c:v>
                </c:pt>
                <c:pt idx="9">
                  <c:v>66235</c:v>
                </c:pt>
                <c:pt idx="10">
                  <c:v>7336657.0599999977</c:v>
                </c:pt>
                <c:pt idx="11">
                  <c:v>30150165.82</c:v>
                </c:pt>
                <c:pt idx="13">
                  <c:v>215721.99</c:v>
                </c:pt>
                <c:pt idx="14">
                  <c:v>274290</c:v>
                </c:pt>
                <c:pt idx="15">
                  <c:v>3738407.5</c:v>
                </c:pt>
                <c:pt idx="16">
                  <c:v>26830</c:v>
                </c:pt>
                <c:pt idx="17">
                  <c:v>36878051.870000005</c:v>
                </c:pt>
                <c:pt idx="18">
                  <c:v>8405</c:v>
                </c:pt>
                <c:pt idx="19">
                  <c:v>10385006</c:v>
                </c:pt>
                <c:pt idx="20">
                  <c:v>17199625.009999998</c:v>
                </c:pt>
                <c:pt idx="24">
                  <c:v>294250</c:v>
                </c:pt>
                <c:pt idx="25">
                  <c:v>2314915.9900000002</c:v>
                </c:pt>
              </c:numCache>
            </c:numRef>
          </c:val>
          <c:extLst>
            <c:ext xmlns:c16="http://schemas.microsoft.com/office/drawing/2014/chart" uri="{C3380CC4-5D6E-409C-BE32-E72D297353CC}">
              <c16:uniqueId val="{00000151-FE2E-4A0B-8586-7F4138B9FF7D}"/>
            </c:ext>
          </c:extLst>
        </c:ser>
        <c:ser>
          <c:idx val="12"/>
          <c:order val="12"/>
          <c:tx>
            <c:strRef>
              <c:f>'Product Pivot.'!$N$3:$N$5</c:f>
              <c:strCache>
                <c:ptCount val="1"/>
                <c:pt idx="0">
                  <c:v>22 - Sum of making_revenue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271-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273-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275-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277-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279-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27B-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7D-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7F-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81-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83-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85-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87-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89-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8B-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8D-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8F-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91-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93-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95-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97-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99-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9B-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9D-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9F-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A1-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A3-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Pivot.'!$N$6:$N$32</c:f>
              <c:numCache>
                <c:formatCode>General</c:formatCode>
                <c:ptCount val="26"/>
                <c:pt idx="1">
                  <c:v>64369.380000000019</c:v>
                </c:pt>
                <c:pt idx="3">
                  <c:v>376307.05000000022</c:v>
                </c:pt>
                <c:pt idx="4">
                  <c:v>107375.03999999989</c:v>
                </c:pt>
                <c:pt idx="5">
                  <c:v>3624055.7500000126</c:v>
                </c:pt>
                <c:pt idx="6">
                  <c:v>13837.57</c:v>
                </c:pt>
                <c:pt idx="7">
                  <c:v>98181.809999999983</c:v>
                </c:pt>
                <c:pt idx="8">
                  <c:v>5804270.4400000414</c:v>
                </c:pt>
                <c:pt idx="9">
                  <c:v>9471.9599999999973</c:v>
                </c:pt>
                <c:pt idx="10">
                  <c:v>266709.59000000026</c:v>
                </c:pt>
                <c:pt idx="11">
                  <c:v>4816060.4999999739</c:v>
                </c:pt>
                <c:pt idx="13">
                  <c:v>40082.01</c:v>
                </c:pt>
                <c:pt idx="14">
                  <c:v>35517.509999999995</c:v>
                </c:pt>
                <c:pt idx="15">
                  <c:v>684465.09999999835</c:v>
                </c:pt>
                <c:pt idx="16">
                  <c:v>8005.32</c:v>
                </c:pt>
                <c:pt idx="17">
                  <c:v>4521238.9600000139</c:v>
                </c:pt>
                <c:pt idx="18">
                  <c:v>3718.4999999999995</c:v>
                </c:pt>
                <c:pt idx="19">
                  <c:v>1485045.8200000038</c:v>
                </c:pt>
                <c:pt idx="20">
                  <c:v>3168000.0600000168</c:v>
                </c:pt>
                <c:pt idx="24">
                  <c:v>35189.839999999997</c:v>
                </c:pt>
                <c:pt idx="25">
                  <c:v>446811.28000000067</c:v>
                </c:pt>
              </c:numCache>
            </c:numRef>
          </c:val>
          <c:extLst>
            <c:ext xmlns:c16="http://schemas.microsoft.com/office/drawing/2014/chart" uri="{C3380CC4-5D6E-409C-BE32-E72D297353CC}">
              <c16:uniqueId val="{00000152-FE2E-4A0B-8586-7F4138B9FF7D}"/>
            </c:ext>
          </c:extLst>
        </c:ser>
        <c:ser>
          <c:idx val="13"/>
          <c:order val="13"/>
          <c:tx>
            <c:strRef>
              <c:f>'Product Pivot.'!$O$3:$O$5</c:f>
              <c:strCache>
                <c:ptCount val="1"/>
                <c:pt idx="0">
                  <c:v>22 - Sum of avg_metal_rate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2A5-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2A7-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2A9-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2AB-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2AD-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2AF-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B1-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B3-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B5-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B7-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B9-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BB-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BD-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BF-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C1-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C3-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C5-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C7-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C9-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CB-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CD-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CF-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D1-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D3-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D5-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D7-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Pivot.'!$O$6:$O$32</c:f>
              <c:numCache>
                <c:formatCode>General</c:formatCode>
                <c:ptCount val="26"/>
                <c:pt idx="1">
                  <c:v>406.24414634146399</c:v>
                </c:pt>
                <c:pt idx="3">
                  <c:v>388.74512024896273</c:v>
                </c:pt>
                <c:pt idx="4">
                  <c:v>406.51517095541431</c:v>
                </c:pt>
                <c:pt idx="5">
                  <c:v>392.75499644618657</c:v>
                </c:pt>
                <c:pt idx="6">
                  <c:v>408.26903589743591</c:v>
                </c:pt>
                <c:pt idx="7">
                  <c:v>372.68282904761912</c:v>
                </c:pt>
                <c:pt idx="8">
                  <c:v>393.21335193289286</c:v>
                </c:pt>
                <c:pt idx="9">
                  <c:v>386.27904761904767</c:v>
                </c:pt>
                <c:pt idx="10">
                  <c:v>398.14219330943894</c:v>
                </c:pt>
                <c:pt idx="11">
                  <c:v>394.88952559004241</c:v>
                </c:pt>
                <c:pt idx="13">
                  <c:v>433.32608695652181</c:v>
                </c:pt>
                <c:pt idx="14">
                  <c:v>430.04763300000002</c:v>
                </c:pt>
                <c:pt idx="15">
                  <c:v>395.20688410767752</c:v>
                </c:pt>
                <c:pt idx="16">
                  <c:v>385.11364761904764</c:v>
                </c:pt>
                <c:pt idx="17">
                  <c:v>397.9716763159081</c:v>
                </c:pt>
                <c:pt idx="18">
                  <c:v>478.10315789473691</c:v>
                </c:pt>
                <c:pt idx="19">
                  <c:v>392.8557042821796</c:v>
                </c:pt>
                <c:pt idx="20">
                  <c:v>397.29003078270728</c:v>
                </c:pt>
                <c:pt idx="24">
                  <c:v>413.59566511627901</c:v>
                </c:pt>
                <c:pt idx="25">
                  <c:v>407.73190272727248</c:v>
                </c:pt>
              </c:numCache>
            </c:numRef>
          </c:val>
          <c:extLst>
            <c:ext xmlns:c16="http://schemas.microsoft.com/office/drawing/2014/chart" uri="{C3380CC4-5D6E-409C-BE32-E72D297353CC}">
              <c16:uniqueId val="{00000153-FE2E-4A0B-8586-7F4138B9FF7D}"/>
            </c:ext>
          </c:extLst>
        </c:ser>
        <c:ser>
          <c:idx val="14"/>
          <c:order val="14"/>
          <c:tx>
            <c:strRef>
              <c:f>'Product Pivot.'!$P$3:$P$5</c:f>
              <c:strCache>
                <c:ptCount val="1"/>
                <c:pt idx="0">
                  <c:v>22 - Sum of transaction_count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2D9-FE0F-4628-96F1-1BD88E2FC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2DB-FE0F-4628-96F1-1BD88E2FC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2DD-FE0F-4628-96F1-1BD88E2FC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2DF-FE0F-4628-96F1-1BD88E2FC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2E1-FE0F-4628-96F1-1BD88E2FCA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2E3-FE0F-4628-96F1-1BD88E2FCA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E5-FE0F-4628-96F1-1BD88E2FCA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E7-FE0F-4628-96F1-1BD88E2FCA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E9-FE0F-4628-96F1-1BD88E2FCA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EB-FE0F-4628-96F1-1BD88E2FCA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ED-FE0F-4628-96F1-1BD88E2FCA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EF-FE0F-4628-96F1-1BD88E2FCA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F1-FE0F-4628-96F1-1BD88E2FCA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F3-FE0F-4628-96F1-1BD88E2FCA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F5-FE0F-4628-96F1-1BD88E2FCA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F7-FE0F-4628-96F1-1BD88E2FCA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F9-FE0F-4628-96F1-1BD88E2FCA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FB-FE0F-4628-96F1-1BD88E2FCA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FD-FE0F-4628-96F1-1BD88E2FCA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FF-FE0F-4628-96F1-1BD88E2FCA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01-FE0F-4628-96F1-1BD88E2FCA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03-FE0F-4628-96F1-1BD88E2FCA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05-FE0F-4628-96F1-1BD88E2FCA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07-FE0F-4628-96F1-1BD88E2FCA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09-FE0F-4628-96F1-1BD88E2FCA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0B-FE0F-4628-96F1-1BD88E2FCAED}"/>
              </c:ext>
            </c:extLst>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Pivot.'!$P$6:$P$32</c:f>
              <c:numCache>
                <c:formatCode>General</c:formatCode>
                <c:ptCount val="26"/>
                <c:pt idx="1">
                  <c:v>317</c:v>
                </c:pt>
                <c:pt idx="3">
                  <c:v>520</c:v>
                </c:pt>
                <c:pt idx="4">
                  <c:v>231</c:v>
                </c:pt>
                <c:pt idx="5">
                  <c:v>3495</c:v>
                </c:pt>
                <c:pt idx="6">
                  <c:v>39</c:v>
                </c:pt>
                <c:pt idx="7">
                  <c:v>84</c:v>
                </c:pt>
                <c:pt idx="8">
                  <c:v>12400</c:v>
                </c:pt>
                <c:pt idx="9">
                  <c:v>21</c:v>
                </c:pt>
                <c:pt idx="10">
                  <c:v>1612</c:v>
                </c:pt>
                <c:pt idx="11">
                  <c:v>15110</c:v>
                </c:pt>
                <c:pt idx="13">
                  <c:v>21</c:v>
                </c:pt>
                <c:pt idx="14">
                  <c:v>39</c:v>
                </c:pt>
                <c:pt idx="15">
                  <c:v>2875</c:v>
                </c:pt>
                <c:pt idx="16">
                  <c:v>41</c:v>
                </c:pt>
                <c:pt idx="17">
                  <c:v>4447</c:v>
                </c:pt>
                <c:pt idx="18">
                  <c:v>17</c:v>
                </c:pt>
                <c:pt idx="19">
                  <c:v>3078</c:v>
                </c:pt>
                <c:pt idx="20">
                  <c:v>11412</c:v>
                </c:pt>
                <c:pt idx="24">
                  <c:v>84</c:v>
                </c:pt>
                <c:pt idx="25">
                  <c:v>1109</c:v>
                </c:pt>
              </c:numCache>
            </c:numRef>
          </c:val>
          <c:extLst>
            <c:ext xmlns:c16="http://schemas.microsoft.com/office/drawing/2014/chart" uri="{C3380CC4-5D6E-409C-BE32-E72D297353CC}">
              <c16:uniqueId val="{00000154-FE2E-4A0B-8586-7F4138B9FF7D}"/>
            </c:ext>
          </c:extLst>
        </c:ser>
        <c:ser>
          <c:idx val="15"/>
          <c:order val="15"/>
          <c:tx>
            <c:strRef>
              <c:f>'Product Pivot.'!$Q$3:$Q$5</c:f>
              <c:strCache>
                <c:ptCount val="1"/>
                <c:pt idx="0">
                  <c:v>24 - Sum of weight_sold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Pivot.'!$Q$6:$Q$32</c:f>
              <c:numCache>
                <c:formatCode>General</c:formatCode>
                <c:ptCount val="26"/>
                <c:pt idx="2">
                  <c:v>799</c:v>
                </c:pt>
                <c:pt idx="12">
                  <c:v>223254.59200000524</c:v>
                </c:pt>
              </c:numCache>
            </c:numRef>
          </c:val>
          <c:extLst>
            <c:ext xmlns:c16="http://schemas.microsoft.com/office/drawing/2014/chart" uri="{C3380CC4-5D6E-409C-BE32-E72D297353CC}">
              <c16:uniqueId val="{00000515-FE0F-4628-96F1-1BD88E2FCAED}"/>
            </c:ext>
          </c:extLst>
        </c:ser>
        <c:ser>
          <c:idx val="16"/>
          <c:order val="16"/>
          <c:tx>
            <c:strRef>
              <c:f>'Product Pivot.'!$R$3:$R$5</c:f>
              <c:strCache>
                <c:ptCount val="1"/>
                <c:pt idx="0">
                  <c:v>24 - Sum of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Pivot.'!$R$6:$R$32</c:f>
              <c:numCache>
                <c:formatCode>General</c:formatCode>
                <c:ptCount val="26"/>
                <c:pt idx="2">
                  <c:v>320565</c:v>
                </c:pt>
                <c:pt idx="12">
                  <c:v>100479453.07999989</c:v>
                </c:pt>
              </c:numCache>
            </c:numRef>
          </c:val>
          <c:extLst>
            <c:ext xmlns:c16="http://schemas.microsoft.com/office/drawing/2014/chart" uri="{C3380CC4-5D6E-409C-BE32-E72D297353CC}">
              <c16:uniqueId val="{00000516-FE0F-4628-96F1-1BD88E2FCAED}"/>
            </c:ext>
          </c:extLst>
        </c:ser>
        <c:ser>
          <c:idx val="17"/>
          <c:order val="17"/>
          <c:tx>
            <c:strRef>
              <c:f>'Product Pivot.'!$S$3:$S$5</c:f>
              <c:strCache>
                <c:ptCount val="1"/>
                <c:pt idx="0">
                  <c:v>24 - Sum of making_revenue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Pivot.'!$S$6:$S$32</c:f>
              <c:numCache>
                <c:formatCode>General</c:formatCode>
                <c:ptCount val="26"/>
                <c:pt idx="2">
                  <c:v>3499.08</c:v>
                </c:pt>
                <c:pt idx="12">
                  <c:v>2565085.7300000112</c:v>
                </c:pt>
              </c:numCache>
            </c:numRef>
          </c:val>
          <c:extLst>
            <c:ext xmlns:c16="http://schemas.microsoft.com/office/drawing/2014/chart" uri="{C3380CC4-5D6E-409C-BE32-E72D297353CC}">
              <c16:uniqueId val="{00000517-FE0F-4628-96F1-1BD88E2FCAED}"/>
            </c:ext>
          </c:extLst>
        </c:ser>
        <c:ser>
          <c:idx val="18"/>
          <c:order val="18"/>
          <c:tx>
            <c:strRef>
              <c:f>'Product Pivot.'!$T$3:$T$5</c:f>
              <c:strCache>
                <c:ptCount val="1"/>
                <c:pt idx="0">
                  <c:v>24 - Sum of avg_metal_rate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Pivot.'!$T$6:$T$32</c:f>
              <c:numCache>
                <c:formatCode>General</c:formatCode>
                <c:ptCount val="26"/>
                <c:pt idx="2">
                  <c:v>408.125</c:v>
                </c:pt>
                <c:pt idx="12">
                  <c:v>440.77292352349076</c:v>
                </c:pt>
              </c:numCache>
            </c:numRef>
          </c:val>
          <c:extLst>
            <c:ext xmlns:c16="http://schemas.microsoft.com/office/drawing/2014/chart" uri="{C3380CC4-5D6E-409C-BE32-E72D297353CC}">
              <c16:uniqueId val="{00000518-FE0F-4628-96F1-1BD88E2FCAED}"/>
            </c:ext>
          </c:extLst>
        </c:ser>
        <c:ser>
          <c:idx val="19"/>
          <c:order val="19"/>
          <c:tx>
            <c:strRef>
              <c:f>'Product Pivot.'!$U$3:$U$5</c:f>
              <c:strCache>
                <c:ptCount val="1"/>
                <c:pt idx="0">
                  <c:v>24 - Sum of transaction_count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Pivot.'!$U$6:$U$32</c:f>
              <c:numCache>
                <c:formatCode>General</c:formatCode>
                <c:ptCount val="26"/>
                <c:pt idx="2">
                  <c:v>16</c:v>
                </c:pt>
                <c:pt idx="12">
                  <c:v>8869</c:v>
                </c:pt>
              </c:numCache>
            </c:numRef>
          </c:val>
          <c:extLst>
            <c:ext xmlns:c16="http://schemas.microsoft.com/office/drawing/2014/chart" uri="{C3380CC4-5D6E-409C-BE32-E72D297353CC}">
              <c16:uniqueId val="{00000519-FE0F-4628-96F1-1BD88E2FCAED}"/>
            </c:ext>
          </c:extLst>
        </c:ser>
        <c:ser>
          <c:idx val="20"/>
          <c:order val="20"/>
          <c:tx>
            <c:strRef>
              <c:f>'Product Pivot.'!$V$3:$V$5</c:f>
              <c:strCache>
                <c:ptCount val="1"/>
                <c:pt idx="0">
                  <c:v>SILVER - Sum of weight_sold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Pivot.'!$V$6:$V$32</c:f>
              <c:numCache>
                <c:formatCode>General</c:formatCode>
                <c:ptCount val="26"/>
                <c:pt idx="21">
                  <c:v>933738.5</c:v>
                </c:pt>
                <c:pt idx="22">
                  <c:v>767.70000000000016</c:v>
                </c:pt>
                <c:pt idx="23">
                  <c:v>794503.79999999958</c:v>
                </c:pt>
              </c:numCache>
            </c:numRef>
          </c:val>
          <c:extLst>
            <c:ext xmlns:c16="http://schemas.microsoft.com/office/drawing/2014/chart" uri="{C3380CC4-5D6E-409C-BE32-E72D297353CC}">
              <c16:uniqueId val="{0000051A-FE0F-4628-96F1-1BD88E2FCAED}"/>
            </c:ext>
          </c:extLst>
        </c:ser>
        <c:ser>
          <c:idx val="21"/>
          <c:order val="21"/>
          <c:tx>
            <c:strRef>
              <c:f>'Product Pivot.'!$W$3:$W$5</c:f>
              <c:strCache>
                <c:ptCount val="1"/>
                <c:pt idx="0">
                  <c:v>SILVER - Sum of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Pivot.'!$W$6:$W$32</c:f>
              <c:numCache>
                <c:formatCode>General</c:formatCode>
                <c:ptCount val="26"/>
                <c:pt idx="21">
                  <c:v>10179776.890000001</c:v>
                </c:pt>
                <c:pt idx="22">
                  <c:v>9832.49</c:v>
                </c:pt>
                <c:pt idx="23">
                  <c:v>9354646.6400000025</c:v>
                </c:pt>
              </c:numCache>
            </c:numRef>
          </c:val>
          <c:extLst>
            <c:ext xmlns:c16="http://schemas.microsoft.com/office/drawing/2014/chart" uri="{C3380CC4-5D6E-409C-BE32-E72D297353CC}">
              <c16:uniqueId val="{0000051B-FE0F-4628-96F1-1BD88E2FCAED}"/>
            </c:ext>
          </c:extLst>
        </c:ser>
        <c:ser>
          <c:idx val="22"/>
          <c:order val="22"/>
          <c:tx>
            <c:strRef>
              <c:f>'Product Pivot.'!$X$3:$X$5</c:f>
              <c:strCache>
                <c:ptCount val="1"/>
                <c:pt idx="0">
                  <c:v>SILVER - Sum of making_revenue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Pivot.'!$X$6:$X$32</c:f>
              <c:numCache>
                <c:formatCode>General</c:formatCode>
                <c:ptCount val="26"/>
                <c:pt idx="21">
                  <c:v>824856.17999999889</c:v>
                </c:pt>
                <c:pt idx="22">
                  <c:v>4884.1799999999994</c:v>
                </c:pt>
                <c:pt idx="23">
                  <c:v>564536.13999999978</c:v>
                </c:pt>
              </c:numCache>
            </c:numRef>
          </c:val>
          <c:extLst>
            <c:ext xmlns:c16="http://schemas.microsoft.com/office/drawing/2014/chart" uri="{C3380CC4-5D6E-409C-BE32-E72D297353CC}">
              <c16:uniqueId val="{0000051C-FE0F-4628-96F1-1BD88E2FCAED}"/>
            </c:ext>
          </c:extLst>
        </c:ser>
        <c:ser>
          <c:idx val="23"/>
          <c:order val="23"/>
          <c:tx>
            <c:strRef>
              <c:f>'Product Pivot.'!$Y$3:$Y$5</c:f>
              <c:strCache>
                <c:ptCount val="1"/>
                <c:pt idx="0">
                  <c:v>SILVER - Sum of avg_metal_rate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Pivot.'!$Y$6:$Y$32</c:f>
              <c:numCache>
                <c:formatCode>General</c:formatCode>
                <c:ptCount val="26"/>
                <c:pt idx="21">
                  <c:v>8.3827708978328204</c:v>
                </c:pt>
                <c:pt idx="22">
                  <c:v>6.5500000000000007</c:v>
                </c:pt>
                <c:pt idx="23">
                  <c:v>10.110878489326728</c:v>
                </c:pt>
              </c:numCache>
            </c:numRef>
          </c:val>
          <c:extLst>
            <c:ext xmlns:c16="http://schemas.microsoft.com/office/drawing/2014/chart" uri="{C3380CC4-5D6E-409C-BE32-E72D297353CC}">
              <c16:uniqueId val="{0000051D-FE0F-4628-96F1-1BD88E2FCAED}"/>
            </c:ext>
          </c:extLst>
        </c:ser>
        <c:ser>
          <c:idx val="24"/>
          <c:order val="24"/>
          <c:tx>
            <c:strRef>
              <c:f>'Product Pivot.'!$Z$3:$Z$5</c:f>
              <c:strCache>
                <c:ptCount val="1"/>
                <c:pt idx="0">
                  <c:v>SILVER - Sum of transaction_count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Pivot.'!$Z$6:$Z$32</c:f>
              <c:numCache>
                <c:formatCode>General</c:formatCode>
                <c:ptCount val="26"/>
                <c:pt idx="21">
                  <c:v>666</c:v>
                </c:pt>
                <c:pt idx="22">
                  <c:v>12</c:v>
                </c:pt>
                <c:pt idx="23">
                  <c:v>700</c:v>
                </c:pt>
              </c:numCache>
            </c:numRef>
          </c:val>
          <c:extLst>
            <c:ext xmlns:c16="http://schemas.microsoft.com/office/drawing/2014/chart" uri="{C3380CC4-5D6E-409C-BE32-E72D297353CC}">
              <c16:uniqueId val="{0000051E-FE0F-4628-96F1-1BD88E2FCAE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2 – Product &amp; Karat Analysis.xlsx]Product Pivot.!PivotTable1</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88791106993981"/>
          <c:y val="0.17641362907070324"/>
          <c:w val="0.65232360660799749"/>
          <c:h val="0.37934981520686067"/>
        </c:manualLayout>
      </c:layout>
      <c:barChart>
        <c:barDir val="col"/>
        <c:grouping val="clustered"/>
        <c:varyColors val="0"/>
        <c:ser>
          <c:idx val="0"/>
          <c:order val="0"/>
          <c:tx>
            <c:strRef>
              <c:f>'Product Pivot.'!$B$3:$B$5</c:f>
              <c:strCache>
                <c:ptCount val="1"/>
                <c:pt idx="0">
                  <c:v>18 - Sum of weight_sold</c:v>
                </c:pt>
              </c:strCache>
            </c:strRef>
          </c:tx>
          <c:spPr>
            <a:solidFill>
              <a:schemeClr val="accent1"/>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Pivot.'!$B$6:$B$32</c:f>
              <c:numCache>
                <c:formatCode>General</c:formatCode>
                <c:ptCount val="26"/>
                <c:pt idx="5">
                  <c:v>8.9</c:v>
                </c:pt>
                <c:pt idx="8">
                  <c:v>11.830000000000002</c:v>
                </c:pt>
                <c:pt idx="11">
                  <c:v>9.379999999999999</c:v>
                </c:pt>
                <c:pt idx="15">
                  <c:v>16.86</c:v>
                </c:pt>
                <c:pt idx="17">
                  <c:v>9</c:v>
                </c:pt>
                <c:pt idx="19">
                  <c:v>27.600000000000122</c:v>
                </c:pt>
                <c:pt idx="20">
                  <c:v>27.549999999999997</c:v>
                </c:pt>
                <c:pt idx="25">
                  <c:v>13.85</c:v>
                </c:pt>
              </c:numCache>
            </c:numRef>
          </c:val>
          <c:extLst>
            <c:ext xmlns:c16="http://schemas.microsoft.com/office/drawing/2014/chart" uri="{C3380CC4-5D6E-409C-BE32-E72D297353CC}">
              <c16:uniqueId val="{00000000-B353-4DBC-AB9D-E8ABACA3F1BB}"/>
            </c:ext>
          </c:extLst>
        </c:ser>
        <c:ser>
          <c:idx val="1"/>
          <c:order val="1"/>
          <c:tx>
            <c:strRef>
              <c:f>'Product Pivot.'!$C$3:$C$5</c:f>
              <c:strCache>
                <c:ptCount val="1"/>
                <c:pt idx="0">
                  <c:v>18 - Sum of revenue</c:v>
                </c:pt>
              </c:strCache>
            </c:strRef>
          </c:tx>
          <c:spPr>
            <a:solidFill>
              <a:schemeClr val="accent2"/>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Pivot.'!$C$6:$C$32</c:f>
              <c:numCache>
                <c:formatCode>General</c:formatCode>
                <c:ptCount val="26"/>
                <c:pt idx="5">
                  <c:v>2450</c:v>
                </c:pt>
                <c:pt idx="8">
                  <c:v>6290</c:v>
                </c:pt>
                <c:pt idx="11">
                  <c:v>4290</c:v>
                </c:pt>
                <c:pt idx="15">
                  <c:v>9140</c:v>
                </c:pt>
                <c:pt idx="17">
                  <c:v>3050</c:v>
                </c:pt>
                <c:pt idx="19">
                  <c:v>20951.349999999995</c:v>
                </c:pt>
                <c:pt idx="20">
                  <c:v>14491.96</c:v>
                </c:pt>
                <c:pt idx="25">
                  <c:v>5775</c:v>
                </c:pt>
              </c:numCache>
            </c:numRef>
          </c:val>
          <c:extLst>
            <c:ext xmlns:c16="http://schemas.microsoft.com/office/drawing/2014/chart" uri="{C3380CC4-5D6E-409C-BE32-E72D297353CC}">
              <c16:uniqueId val="{00000001-B353-4DBC-AB9D-E8ABACA3F1BB}"/>
            </c:ext>
          </c:extLst>
        </c:ser>
        <c:ser>
          <c:idx val="2"/>
          <c:order val="2"/>
          <c:tx>
            <c:strRef>
              <c:f>'Product Pivot.'!$D$3:$D$5</c:f>
              <c:strCache>
                <c:ptCount val="1"/>
                <c:pt idx="0">
                  <c:v>18 - Sum of making_revenue</c:v>
                </c:pt>
              </c:strCache>
            </c:strRef>
          </c:tx>
          <c:spPr>
            <a:solidFill>
              <a:schemeClr val="accent3"/>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Pivot.'!$D$6:$D$32</c:f>
              <c:numCache>
                <c:formatCode>General</c:formatCode>
                <c:ptCount val="26"/>
                <c:pt idx="5">
                  <c:v>212.13</c:v>
                </c:pt>
                <c:pt idx="8">
                  <c:v>2488.5099999999998</c:v>
                </c:pt>
                <c:pt idx="11">
                  <c:v>1448.92</c:v>
                </c:pt>
                <c:pt idx="15">
                  <c:v>3803.0699999999997</c:v>
                </c:pt>
                <c:pt idx="17">
                  <c:v>367.37</c:v>
                </c:pt>
                <c:pt idx="19">
                  <c:v>12040.929999999998</c:v>
                </c:pt>
                <c:pt idx="20">
                  <c:v>5115.74</c:v>
                </c:pt>
                <c:pt idx="25">
                  <c:v>1458.4699999999998</c:v>
                </c:pt>
              </c:numCache>
            </c:numRef>
          </c:val>
          <c:extLst>
            <c:ext xmlns:c16="http://schemas.microsoft.com/office/drawing/2014/chart" uri="{C3380CC4-5D6E-409C-BE32-E72D297353CC}">
              <c16:uniqueId val="{00000002-B353-4DBC-AB9D-E8ABACA3F1BB}"/>
            </c:ext>
          </c:extLst>
        </c:ser>
        <c:ser>
          <c:idx val="3"/>
          <c:order val="3"/>
          <c:tx>
            <c:strRef>
              <c:f>'Product Pivot.'!$E$3:$E$5</c:f>
              <c:strCache>
                <c:ptCount val="1"/>
                <c:pt idx="0">
                  <c:v>18 - Sum of avg_metal_rate</c:v>
                </c:pt>
              </c:strCache>
            </c:strRef>
          </c:tx>
          <c:spPr>
            <a:solidFill>
              <a:schemeClr val="accent4"/>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Pivot.'!$E$6:$E$32</c:f>
              <c:numCache>
                <c:formatCode>General</c:formatCode>
                <c:ptCount val="26"/>
                <c:pt idx="5">
                  <c:v>251.44499999999999</c:v>
                </c:pt>
                <c:pt idx="8">
                  <c:v>319.30211538461538</c:v>
                </c:pt>
                <c:pt idx="11">
                  <c:v>300.26333333333332</c:v>
                </c:pt>
                <c:pt idx="15">
                  <c:v>302.26972222222219</c:v>
                </c:pt>
                <c:pt idx="17">
                  <c:v>298.07</c:v>
                </c:pt>
                <c:pt idx="19">
                  <c:v>308.55133152173914</c:v>
                </c:pt>
                <c:pt idx="20">
                  <c:v>339.16223214285714</c:v>
                </c:pt>
                <c:pt idx="25">
                  <c:v>319.20666666666665</c:v>
                </c:pt>
              </c:numCache>
            </c:numRef>
          </c:val>
          <c:extLst>
            <c:ext xmlns:c16="http://schemas.microsoft.com/office/drawing/2014/chart" uri="{C3380CC4-5D6E-409C-BE32-E72D297353CC}">
              <c16:uniqueId val="{00000003-B353-4DBC-AB9D-E8ABACA3F1BB}"/>
            </c:ext>
          </c:extLst>
        </c:ser>
        <c:ser>
          <c:idx val="4"/>
          <c:order val="4"/>
          <c:tx>
            <c:strRef>
              <c:f>'Product Pivot.'!$F$3:$F$5</c:f>
              <c:strCache>
                <c:ptCount val="1"/>
                <c:pt idx="0">
                  <c:v>18 - Sum of transaction_count</c:v>
                </c:pt>
              </c:strCache>
            </c:strRef>
          </c:tx>
          <c:spPr>
            <a:solidFill>
              <a:schemeClr val="accent5"/>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Pivot.'!$F$6:$F$32</c:f>
              <c:numCache>
                <c:formatCode>General</c:formatCode>
                <c:ptCount val="26"/>
                <c:pt idx="5">
                  <c:v>1</c:v>
                </c:pt>
                <c:pt idx="8">
                  <c:v>13</c:v>
                </c:pt>
                <c:pt idx="11">
                  <c:v>6</c:v>
                </c:pt>
                <c:pt idx="15">
                  <c:v>18</c:v>
                </c:pt>
                <c:pt idx="17">
                  <c:v>1</c:v>
                </c:pt>
                <c:pt idx="19">
                  <c:v>214</c:v>
                </c:pt>
                <c:pt idx="20">
                  <c:v>28</c:v>
                </c:pt>
                <c:pt idx="25">
                  <c:v>3</c:v>
                </c:pt>
              </c:numCache>
            </c:numRef>
          </c:val>
          <c:extLst>
            <c:ext xmlns:c16="http://schemas.microsoft.com/office/drawing/2014/chart" uri="{C3380CC4-5D6E-409C-BE32-E72D297353CC}">
              <c16:uniqueId val="{00000004-B353-4DBC-AB9D-E8ABACA3F1BB}"/>
            </c:ext>
          </c:extLst>
        </c:ser>
        <c:ser>
          <c:idx val="5"/>
          <c:order val="5"/>
          <c:tx>
            <c:strRef>
              <c:f>'Product Pivot.'!$G$3:$G$5</c:f>
              <c:strCache>
                <c:ptCount val="1"/>
                <c:pt idx="0">
                  <c:v>21 - Sum of weight_sold</c:v>
                </c:pt>
              </c:strCache>
            </c:strRef>
          </c:tx>
          <c:spPr>
            <a:solidFill>
              <a:schemeClr val="accent6"/>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Pivot.'!$G$6:$G$32</c:f>
              <c:numCache>
                <c:formatCode>General</c:formatCode>
                <c:ptCount val="26"/>
                <c:pt idx="0">
                  <c:v>21635.280999999941</c:v>
                </c:pt>
                <c:pt idx="3">
                  <c:v>16.5</c:v>
                </c:pt>
                <c:pt idx="4">
                  <c:v>3</c:v>
                </c:pt>
                <c:pt idx="5">
                  <c:v>1365.7599999999998</c:v>
                </c:pt>
                <c:pt idx="8">
                  <c:v>20.63</c:v>
                </c:pt>
                <c:pt idx="10">
                  <c:v>20.170000000000002</c:v>
                </c:pt>
                <c:pt idx="11">
                  <c:v>330.36000000000024</c:v>
                </c:pt>
                <c:pt idx="14">
                  <c:v>23.799999999999997</c:v>
                </c:pt>
                <c:pt idx="15">
                  <c:v>203.24000000000004</c:v>
                </c:pt>
                <c:pt idx="17">
                  <c:v>1458.5000000000005</c:v>
                </c:pt>
                <c:pt idx="19">
                  <c:v>294.53000000000026</c:v>
                </c:pt>
                <c:pt idx="20">
                  <c:v>414.77899999999988</c:v>
                </c:pt>
                <c:pt idx="25">
                  <c:v>181.51000000000002</c:v>
                </c:pt>
              </c:numCache>
            </c:numRef>
          </c:val>
          <c:extLst>
            <c:ext xmlns:c16="http://schemas.microsoft.com/office/drawing/2014/chart" uri="{C3380CC4-5D6E-409C-BE32-E72D297353CC}">
              <c16:uniqueId val="{00000047-8D7A-42EC-8511-3BB734B382B1}"/>
            </c:ext>
          </c:extLst>
        </c:ser>
        <c:ser>
          <c:idx val="6"/>
          <c:order val="6"/>
          <c:tx>
            <c:strRef>
              <c:f>'Product Pivot.'!$H$3:$H$5</c:f>
              <c:strCache>
                <c:ptCount val="1"/>
                <c:pt idx="0">
                  <c:v>21 - Sum of revenue</c:v>
                </c:pt>
              </c:strCache>
            </c:strRef>
          </c:tx>
          <c:spPr>
            <a:solidFill>
              <a:schemeClr val="accent1">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Pivot.'!$H$6:$H$32</c:f>
              <c:numCache>
                <c:formatCode>General</c:formatCode>
                <c:ptCount val="26"/>
                <c:pt idx="0">
                  <c:v>7955727.2000000002</c:v>
                </c:pt>
                <c:pt idx="3">
                  <c:v>5675</c:v>
                </c:pt>
                <c:pt idx="4">
                  <c:v>1250</c:v>
                </c:pt>
                <c:pt idx="5">
                  <c:v>533734</c:v>
                </c:pt>
                <c:pt idx="8">
                  <c:v>10030</c:v>
                </c:pt>
                <c:pt idx="10">
                  <c:v>7905.18</c:v>
                </c:pt>
                <c:pt idx="11">
                  <c:v>149019</c:v>
                </c:pt>
                <c:pt idx="14">
                  <c:v>10305</c:v>
                </c:pt>
                <c:pt idx="15">
                  <c:v>90733</c:v>
                </c:pt>
                <c:pt idx="17">
                  <c:v>583520.76999999979</c:v>
                </c:pt>
                <c:pt idx="19">
                  <c:v>128229.1</c:v>
                </c:pt>
                <c:pt idx="20">
                  <c:v>178943.62</c:v>
                </c:pt>
                <c:pt idx="25">
                  <c:v>81403</c:v>
                </c:pt>
              </c:numCache>
            </c:numRef>
          </c:val>
          <c:extLst>
            <c:ext xmlns:c16="http://schemas.microsoft.com/office/drawing/2014/chart" uri="{C3380CC4-5D6E-409C-BE32-E72D297353CC}">
              <c16:uniqueId val="{00000048-8D7A-42EC-8511-3BB734B382B1}"/>
            </c:ext>
          </c:extLst>
        </c:ser>
        <c:ser>
          <c:idx val="7"/>
          <c:order val="7"/>
          <c:tx>
            <c:strRef>
              <c:f>'Product Pivot.'!$I$3:$I$5</c:f>
              <c:strCache>
                <c:ptCount val="1"/>
                <c:pt idx="0">
                  <c:v>21 - Sum of making_revenue</c:v>
                </c:pt>
              </c:strCache>
            </c:strRef>
          </c:tx>
          <c:spPr>
            <a:solidFill>
              <a:schemeClr val="accent2">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Pivot.'!$I$6:$I$32</c:f>
              <c:numCache>
                <c:formatCode>General</c:formatCode>
                <c:ptCount val="26"/>
                <c:pt idx="0">
                  <c:v>64482.99000000002</c:v>
                </c:pt>
                <c:pt idx="3">
                  <c:v>20.95</c:v>
                </c:pt>
                <c:pt idx="4">
                  <c:v>317.48</c:v>
                </c:pt>
                <c:pt idx="5">
                  <c:v>29480.99</c:v>
                </c:pt>
                <c:pt idx="8">
                  <c:v>2347.04</c:v>
                </c:pt>
                <c:pt idx="10">
                  <c:v>1085.3699999999999</c:v>
                </c:pt>
                <c:pt idx="11">
                  <c:v>32269.690000000017</c:v>
                </c:pt>
                <c:pt idx="14">
                  <c:v>2175.46</c:v>
                </c:pt>
                <c:pt idx="15">
                  <c:v>19681.520000000004</c:v>
                </c:pt>
                <c:pt idx="17">
                  <c:v>68624.690000000031</c:v>
                </c:pt>
                <c:pt idx="19">
                  <c:v>21095.089999999989</c:v>
                </c:pt>
                <c:pt idx="20">
                  <c:v>39852.889999999985</c:v>
                </c:pt>
                <c:pt idx="25">
                  <c:v>20318.090000000004</c:v>
                </c:pt>
              </c:numCache>
            </c:numRef>
          </c:val>
          <c:extLst>
            <c:ext xmlns:c16="http://schemas.microsoft.com/office/drawing/2014/chart" uri="{C3380CC4-5D6E-409C-BE32-E72D297353CC}">
              <c16:uniqueId val="{00000049-8D7A-42EC-8511-3BB734B382B1}"/>
            </c:ext>
          </c:extLst>
        </c:ser>
        <c:ser>
          <c:idx val="8"/>
          <c:order val="8"/>
          <c:tx>
            <c:strRef>
              <c:f>'Product Pivot.'!$J$3:$J$5</c:f>
              <c:strCache>
                <c:ptCount val="1"/>
                <c:pt idx="0">
                  <c:v>21 - Sum of avg_metal_rate</c:v>
                </c:pt>
              </c:strCache>
            </c:strRef>
          </c:tx>
          <c:spPr>
            <a:solidFill>
              <a:schemeClr val="accent3">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Pivot.'!$J$6:$J$32</c:f>
              <c:numCache>
                <c:formatCode>General</c:formatCode>
                <c:ptCount val="26"/>
                <c:pt idx="0">
                  <c:v>386.91828025477764</c:v>
                </c:pt>
                <c:pt idx="3">
                  <c:v>342.67</c:v>
                </c:pt>
                <c:pt idx="4">
                  <c:v>310.83999999999997</c:v>
                </c:pt>
                <c:pt idx="5">
                  <c:v>349.76317796610164</c:v>
                </c:pt>
                <c:pt idx="8">
                  <c:v>368.29270833333339</c:v>
                </c:pt>
                <c:pt idx="10">
                  <c:v>341.92500000000001</c:v>
                </c:pt>
                <c:pt idx="11">
                  <c:v>351.9007894736842</c:v>
                </c:pt>
                <c:pt idx="14">
                  <c:v>343.26321428571424</c:v>
                </c:pt>
                <c:pt idx="15">
                  <c:v>350.43582770270268</c:v>
                </c:pt>
                <c:pt idx="17">
                  <c:v>355.03227201257874</c:v>
                </c:pt>
                <c:pt idx="19">
                  <c:v>364.26781716417912</c:v>
                </c:pt>
                <c:pt idx="20">
                  <c:v>333.7057592592592</c:v>
                </c:pt>
                <c:pt idx="25">
                  <c:v>339.20428571428556</c:v>
                </c:pt>
              </c:numCache>
            </c:numRef>
          </c:val>
          <c:extLst>
            <c:ext xmlns:c16="http://schemas.microsoft.com/office/drawing/2014/chart" uri="{C3380CC4-5D6E-409C-BE32-E72D297353CC}">
              <c16:uniqueId val="{0000004A-8D7A-42EC-8511-3BB734B382B1}"/>
            </c:ext>
          </c:extLst>
        </c:ser>
        <c:ser>
          <c:idx val="9"/>
          <c:order val="9"/>
          <c:tx>
            <c:strRef>
              <c:f>'Product Pivot.'!$K$3:$K$5</c:f>
              <c:strCache>
                <c:ptCount val="1"/>
                <c:pt idx="0">
                  <c:v>21 - Sum of transaction_count</c:v>
                </c:pt>
              </c:strCache>
            </c:strRef>
          </c:tx>
          <c:spPr>
            <a:solidFill>
              <a:schemeClr val="accent4">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Pivot.'!$K$6:$K$32</c:f>
              <c:numCache>
                <c:formatCode>General</c:formatCode>
                <c:ptCount val="26"/>
                <c:pt idx="0">
                  <c:v>301</c:v>
                </c:pt>
                <c:pt idx="3">
                  <c:v>1</c:v>
                </c:pt>
                <c:pt idx="4">
                  <c:v>1</c:v>
                </c:pt>
                <c:pt idx="5">
                  <c:v>34</c:v>
                </c:pt>
                <c:pt idx="8">
                  <c:v>12</c:v>
                </c:pt>
                <c:pt idx="10">
                  <c:v>4</c:v>
                </c:pt>
                <c:pt idx="11">
                  <c:v>127</c:v>
                </c:pt>
                <c:pt idx="14">
                  <c:v>7</c:v>
                </c:pt>
                <c:pt idx="15">
                  <c:v>70</c:v>
                </c:pt>
                <c:pt idx="17">
                  <c:v>135</c:v>
                </c:pt>
                <c:pt idx="19">
                  <c:v>65</c:v>
                </c:pt>
                <c:pt idx="20">
                  <c:v>128</c:v>
                </c:pt>
                <c:pt idx="25">
                  <c:v>79</c:v>
                </c:pt>
              </c:numCache>
            </c:numRef>
          </c:val>
          <c:extLst>
            <c:ext xmlns:c16="http://schemas.microsoft.com/office/drawing/2014/chart" uri="{C3380CC4-5D6E-409C-BE32-E72D297353CC}">
              <c16:uniqueId val="{0000004B-8D7A-42EC-8511-3BB734B382B1}"/>
            </c:ext>
          </c:extLst>
        </c:ser>
        <c:ser>
          <c:idx val="10"/>
          <c:order val="10"/>
          <c:tx>
            <c:strRef>
              <c:f>'Product Pivot.'!$L$3:$L$5</c:f>
              <c:strCache>
                <c:ptCount val="1"/>
                <c:pt idx="0">
                  <c:v>22 - Sum of weight_sold</c:v>
                </c:pt>
              </c:strCache>
            </c:strRef>
          </c:tx>
          <c:spPr>
            <a:solidFill>
              <a:schemeClr val="accent5">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Pivot.'!$L$6:$L$32</c:f>
              <c:numCache>
                <c:formatCode>General</c:formatCode>
                <c:ptCount val="26"/>
                <c:pt idx="1">
                  <c:v>15802.010000000004</c:v>
                </c:pt>
                <c:pt idx="3">
                  <c:v>8180.5300000000034</c:v>
                </c:pt>
                <c:pt idx="4">
                  <c:v>1555.1100000000001</c:v>
                </c:pt>
                <c:pt idx="5">
                  <c:v>80378.126000000033</c:v>
                </c:pt>
                <c:pt idx="6">
                  <c:v>331.79999999999995</c:v>
                </c:pt>
                <c:pt idx="7">
                  <c:v>1282.9699999999996</c:v>
                </c:pt>
                <c:pt idx="8">
                  <c:v>129777.90300000024</c:v>
                </c:pt>
                <c:pt idx="9">
                  <c:v>147.83000000000004</c:v>
                </c:pt>
                <c:pt idx="10">
                  <c:v>17553.18</c:v>
                </c:pt>
                <c:pt idx="11">
                  <c:v>63974.022999999899</c:v>
                </c:pt>
                <c:pt idx="13">
                  <c:v>406.27</c:v>
                </c:pt>
                <c:pt idx="14">
                  <c:v>581.46999999999991</c:v>
                </c:pt>
                <c:pt idx="15">
                  <c:v>7522.537000000013</c:v>
                </c:pt>
                <c:pt idx="16">
                  <c:v>48.429999999999993</c:v>
                </c:pt>
                <c:pt idx="17">
                  <c:v>81955.505999999892</c:v>
                </c:pt>
                <c:pt idx="18">
                  <c:v>9.7999999999999989</c:v>
                </c:pt>
                <c:pt idx="19">
                  <c:v>22543.528999999904</c:v>
                </c:pt>
                <c:pt idx="20">
                  <c:v>35445.743999999671</c:v>
                </c:pt>
                <c:pt idx="24">
                  <c:v>635.82999999999993</c:v>
                </c:pt>
                <c:pt idx="25">
                  <c:v>4584.4000000000015</c:v>
                </c:pt>
              </c:numCache>
            </c:numRef>
          </c:val>
          <c:extLst>
            <c:ext xmlns:c16="http://schemas.microsoft.com/office/drawing/2014/chart" uri="{C3380CC4-5D6E-409C-BE32-E72D297353CC}">
              <c16:uniqueId val="{0000004C-8D7A-42EC-8511-3BB734B382B1}"/>
            </c:ext>
          </c:extLst>
        </c:ser>
        <c:ser>
          <c:idx val="11"/>
          <c:order val="11"/>
          <c:tx>
            <c:strRef>
              <c:f>'Product Pivot.'!$M$3:$M$5</c:f>
              <c:strCache>
                <c:ptCount val="1"/>
                <c:pt idx="0">
                  <c:v>22 - Sum of revenue</c:v>
                </c:pt>
              </c:strCache>
            </c:strRef>
          </c:tx>
          <c:spPr>
            <a:solidFill>
              <a:schemeClr val="accent6">
                <a:lumMod val="6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Pivot.'!$M$6:$M$32</c:f>
              <c:numCache>
                <c:formatCode>General</c:formatCode>
                <c:ptCount val="26"/>
                <c:pt idx="1">
                  <c:v>6004607</c:v>
                </c:pt>
                <c:pt idx="3">
                  <c:v>3580989</c:v>
                </c:pt>
                <c:pt idx="4">
                  <c:v>738098</c:v>
                </c:pt>
                <c:pt idx="5">
                  <c:v>35472721.5</c:v>
                </c:pt>
                <c:pt idx="6">
                  <c:v>147451</c:v>
                </c:pt>
                <c:pt idx="7">
                  <c:v>577485</c:v>
                </c:pt>
                <c:pt idx="8">
                  <c:v>57208828.530000001</c:v>
                </c:pt>
                <c:pt idx="9">
                  <c:v>66235</c:v>
                </c:pt>
                <c:pt idx="10">
                  <c:v>7336657.0599999977</c:v>
                </c:pt>
                <c:pt idx="11">
                  <c:v>30150165.82</c:v>
                </c:pt>
                <c:pt idx="13">
                  <c:v>215721.99</c:v>
                </c:pt>
                <c:pt idx="14">
                  <c:v>274290</c:v>
                </c:pt>
                <c:pt idx="15">
                  <c:v>3738407.5</c:v>
                </c:pt>
                <c:pt idx="16">
                  <c:v>26830</c:v>
                </c:pt>
                <c:pt idx="17">
                  <c:v>36878051.870000005</c:v>
                </c:pt>
                <c:pt idx="18">
                  <c:v>8405</c:v>
                </c:pt>
                <c:pt idx="19">
                  <c:v>10385006</c:v>
                </c:pt>
                <c:pt idx="20">
                  <c:v>17199625.009999998</c:v>
                </c:pt>
                <c:pt idx="24">
                  <c:v>294250</c:v>
                </c:pt>
                <c:pt idx="25">
                  <c:v>2314915.9900000002</c:v>
                </c:pt>
              </c:numCache>
            </c:numRef>
          </c:val>
          <c:extLst>
            <c:ext xmlns:c16="http://schemas.microsoft.com/office/drawing/2014/chart" uri="{C3380CC4-5D6E-409C-BE32-E72D297353CC}">
              <c16:uniqueId val="{0000004D-8D7A-42EC-8511-3BB734B382B1}"/>
            </c:ext>
          </c:extLst>
        </c:ser>
        <c:ser>
          <c:idx val="12"/>
          <c:order val="12"/>
          <c:tx>
            <c:strRef>
              <c:f>'Product Pivot.'!$N$3:$N$5</c:f>
              <c:strCache>
                <c:ptCount val="1"/>
                <c:pt idx="0">
                  <c:v>22 - Sum of making_revenue</c:v>
                </c:pt>
              </c:strCache>
            </c:strRef>
          </c:tx>
          <c:spPr>
            <a:solidFill>
              <a:schemeClr val="accent1">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Pivot.'!$N$6:$N$32</c:f>
              <c:numCache>
                <c:formatCode>General</c:formatCode>
                <c:ptCount val="26"/>
                <c:pt idx="1">
                  <c:v>64369.380000000019</c:v>
                </c:pt>
                <c:pt idx="3">
                  <c:v>376307.05000000022</c:v>
                </c:pt>
                <c:pt idx="4">
                  <c:v>107375.03999999989</c:v>
                </c:pt>
                <c:pt idx="5">
                  <c:v>3624055.7500000126</c:v>
                </c:pt>
                <c:pt idx="6">
                  <c:v>13837.57</c:v>
                </c:pt>
                <c:pt idx="7">
                  <c:v>98181.809999999983</c:v>
                </c:pt>
                <c:pt idx="8">
                  <c:v>5804270.4400000414</c:v>
                </c:pt>
                <c:pt idx="9">
                  <c:v>9471.9599999999973</c:v>
                </c:pt>
                <c:pt idx="10">
                  <c:v>266709.59000000026</c:v>
                </c:pt>
                <c:pt idx="11">
                  <c:v>4816060.4999999739</c:v>
                </c:pt>
                <c:pt idx="13">
                  <c:v>40082.01</c:v>
                </c:pt>
                <c:pt idx="14">
                  <c:v>35517.509999999995</c:v>
                </c:pt>
                <c:pt idx="15">
                  <c:v>684465.09999999835</c:v>
                </c:pt>
                <c:pt idx="16">
                  <c:v>8005.32</c:v>
                </c:pt>
                <c:pt idx="17">
                  <c:v>4521238.9600000139</c:v>
                </c:pt>
                <c:pt idx="18">
                  <c:v>3718.4999999999995</c:v>
                </c:pt>
                <c:pt idx="19">
                  <c:v>1485045.8200000038</c:v>
                </c:pt>
                <c:pt idx="20">
                  <c:v>3168000.0600000168</c:v>
                </c:pt>
                <c:pt idx="24">
                  <c:v>35189.839999999997</c:v>
                </c:pt>
                <c:pt idx="25">
                  <c:v>446811.28000000067</c:v>
                </c:pt>
              </c:numCache>
            </c:numRef>
          </c:val>
          <c:extLst>
            <c:ext xmlns:c16="http://schemas.microsoft.com/office/drawing/2014/chart" uri="{C3380CC4-5D6E-409C-BE32-E72D297353CC}">
              <c16:uniqueId val="{0000004E-8D7A-42EC-8511-3BB734B382B1}"/>
            </c:ext>
          </c:extLst>
        </c:ser>
        <c:ser>
          <c:idx val="13"/>
          <c:order val="13"/>
          <c:tx>
            <c:strRef>
              <c:f>'Product Pivot.'!$O$3:$O$5</c:f>
              <c:strCache>
                <c:ptCount val="1"/>
                <c:pt idx="0">
                  <c:v>22 - Sum of avg_metal_rate</c:v>
                </c:pt>
              </c:strCache>
            </c:strRef>
          </c:tx>
          <c:spPr>
            <a:solidFill>
              <a:schemeClr val="accent2">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Pivot.'!$O$6:$O$32</c:f>
              <c:numCache>
                <c:formatCode>General</c:formatCode>
                <c:ptCount val="26"/>
                <c:pt idx="1">
                  <c:v>406.24414634146399</c:v>
                </c:pt>
                <c:pt idx="3">
                  <c:v>388.74512024896273</c:v>
                </c:pt>
                <c:pt idx="4">
                  <c:v>406.51517095541431</c:v>
                </c:pt>
                <c:pt idx="5">
                  <c:v>392.75499644618657</c:v>
                </c:pt>
                <c:pt idx="6">
                  <c:v>408.26903589743591</c:v>
                </c:pt>
                <c:pt idx="7">
                  <c:v>372.68282904761912</c:v>
                </c:pt>
                <c:pt idx="8">
                  <c:v>393.21335193289286</c:v>
                </c:pt>
                <c:pt idx="9">
                  <c:v>386.27904761904767</c:v>
                </c:pt>
                <c:pt idx="10">
                  <c:v>398.14219330943894</c:v>
                </c:pt>
                <c:pt idx="11">
                  <c:v>394.88952559004241</c:v>
                </c:pt>
                <c:pt idx="13">
                  <c:v>433.32608695652181</c:v>
                </c:pt>
                <c:pt idx="14">
                  <c:v>430.04763300000002</c:v>
                </c:pt>
                <c:pt idx="15">
                  <c:v>395.20688410767752</c:v>
                </c:pt>
                <c:pt idx="16">
                  <c:v>385.11364761904764</c:v>
                </c:pt>
                <c:pt idx="17">
                  <c:v>397.9716763159081</c:v>
                </c:pt>
                <c:pt idx="18">
                  <c:v>478.10315789473691</c:v>
                </c:pt>
                <c:pt idx="19">
                  <c:v>392.8557042821796</c:v>
                </c:pt>
                <c:pt idx="20">
                  <c:v>397.29003078270728</c:v>
                </c:pt>
                <c:pt idx="24">
                  <c:v>413.59566511627901</c:v>
                </c:pt>
                <c:pt idx="25">
                  <c:v>407.73190272727248</c:v>
                </c:pt>
              </c:numCache>
            </c:numRef>
          </c:val>
          <c:extLst>
            <c:ext xmlns:c16="http://schemas.microsoft.com/office/drawing/2014/chart" uri="{C3380CC4-5D6E-409C-BE32-E72D297353CC}">
              <c16:uniqueId val="{0000004F-8D7A-42EC-8511-3BB734B382B1}"/>
            </c:ext>
          </c:extLst>
        </c:ser>
        <c:ser>
          <c:idx val="14"/>
          <c:order val="14"/>
          <c:tx>
            <c:strRef>
              <c:f>'Product Pivot.'!$P$3:$P$5</c:f>
              <c:strCache>
                <c:ptCount val="1"/>
                <c:pt idx="0">
                  <c:v>22 - Sum of transaction_count</c:v>
                </c:pt>
              </c:strCache>
            </c:strRef>
          </c:tx>
          <c:spPr>
            <a:solidFill>
              <a:schemeClr val="accent3">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Pivot.'!$P$6:$P$32</c:f>
              <c:numCache>
                <c:formatCode>General</c:formatCode>
                <c:ptCount val="26"/>
                <c:pt idx="1">
                  <c:v>317</c:v>
                </c:pt>
                <c:pt idx="3">
                  <c:v>520</c:v>
                </c:pt>
                <c:pt idx="4">
                  <c:v>231</c:v>
                </c:pt>
                <c:pt idx="5">
                  <c:v>3495</c:v>
                </c:pt>
                <c:pt idx="6">
                  <c:v>39</c:v>
                </c:pt>
                <c:pt idx="7">
                  <c:v>84</c:v>
                </c:pt>
                <c:pt idx="8">
                  <c:v>12400</c:v>
                </c:pt>
                <c:pt idx="9">
                  <c:v>21</c:v>
                </c:pt>
                <c:pt idx="10">
                  <c:v>1612</c:v>
                </c:pt>
                <c:pt idx="11">
                  <c:v>15110</c:v>
                </c:pt>
                <c:pt idx="13">
                  <c:v>21</c:v>
                </c:pt>
                <c:pt idx="14">
                  <c:v>39</c:v>
                </c:pt>
                <c:pt idx="15">
                  <c:v>2875</c:v>
                </c:pt>
                <c:pt idx="16">
                  <c:v>41</c:v>
                </c:pt>
                <c:pt idx="17">
                  <c:v>4447</c:v>
                </c:pt>
                <c:pt idx="18">
                  <c:v>17</c:v>
                </c:pt>
                <c:pt idx="19">
                  <c:v>3078</c:v>
                </c:pt>
                <c:pt idx="20">
                  <c:v>11412</c:v>
                </c:pt>
                <c:pt idx="24">
                  <c:v>84</c:v>
                </c:pt>
                <c:pt idx="25">
                  <c:v>1109</c:v>
                </c:pt>
              </c:numCache>
            </c:numRef>
          </c:val>
          <c:extLst>
            <c:ext xmlns:c16="http://schemas.microsoft.com/office/drawing/2014/chart" uri="{C3380CC4-5D6E-409C-BE32-E72D297353CC}">
              <c16:uniqueId val="{00000050-8D7A-42EC-8511-3BB734B382B1}"/>
            </c:ext>
          </c:extLst>
        </c:ser>
        <c:ser>
          <c:idx val="15"/>
          <c:order val="15"/>
          <c:tx>
            <c:strRef>
              <c:f>'Product Pivot.'!$Q$3:$Q$5</c:f>
              <c:strCache>
                <c:ptCount val="1"/>
                <c:pt idx="0">
                  <c:v>24 - Sum of weight_sold</c:v>
                </c:pt>
              </c:strCache>
            </c:strRef>
          </c:tx>
          <c:spPr>
            <a:solidFill>
              <a:schemeClr val="accent4">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Pivot.'!$Q$6:$Q$32</c:f>
              <c:numCache>
                <c:formatCode>General</c:formatCode>
                <c:ptCount val="26"/>
                <c:pt idx="2">
                  <c:v>799</c:v>
                </c:pt>
                <c:pt idx="12">
                  <c:v>223254.59200000524</c:v>
                </c:pt>
              </c:numCache>
            </c:numRef>
          </c:val>
          <c:extLst>
            <c:ext xmlns:c16="http://schemas.microsoft.com/office/drawing/2014/chart" uri="{C3380CC4-5D6E-409C-BE32-E72D297353CC}">
              <c16:uniqueId val="{00000001-D56C-401E-939C-0AAAEF4D514E}"/>
            </c:ext>
          </c:extLst>
        </c:ser>
        <c:ser>
          <c:idx val="16"/>
          <c:order val="16"/>
          <c:tx>
            <c:strRef>
              <c:f>'Product Pivot.'!$R$3:$R$5</c:f>
              <c:strCache>
                <c:ptCount val="1"/>
                <c:pt idx="0">
                  <c:v>24 - Sum of revenue</c:v>
                </c:pt>
              </c:strCache>
            </c:strRef>
          </c:tx>
          <c:spPr>
            <a:solidFill>
              <a:schemeClr val="accent5">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Pivot.'!$R$6:$R$32</c:f>
              <c:numCache>
                <c:formatCode>General</c:formatCode>
                <c:ptCount val="26"/>
                <c:pt idx="2">
                  <c:v>320565</c:v>
                </c:pt>
                <c:pt idx="12">
                  <c:v>100479453.07999989</c:v>
                </c:pt>
              </c:numCache>
            </c:numRef>
          </c:val>
          <c:extLst>
            <c:ext xmlns:c16="http://schemas.microsoft.com/office/drawing/2014/chart" uri="{C3380CC4-5D6E-409C-BE32-E72D297353CC}">
              <c16:uniqueId val="{00000002-D56C-401E-939C-0AAAEF4D514E}"/>
            </c:ext>
          </c:extLst>
        </c:ser>
        <c:ser>
          <c:idx val="17"/>
          <c:order val="17"/>
          <c:tx>
            <c:strRef>
              <c:f>'Product Pivot.'!$S$3:$S$5</c:f>
              <c:strCache>
                <c:ptCount val="1"/>
                <c:pt idx="0">
                  <c:v>24 - Sum of making_revenue</c:v>
                </c:pt>
              </c:strCache>
            </c:strRef>
          </c:tx>
          <c:spPr>
            <a:solidFill>
              <a:schemeClr val="accent6">
                <a:lumMod val="80000"/>
                <a:lumOff val="2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Pivot.'!$S$6:$S$32</c:f>
              <c:numCache>
                <c:formatCode>General</c:formatCode>
                <c:ptCount val="26"/>
                <c:pt idx="2">
                  <c:v>3499.08</c:v>
                </c:pt>
                <c:pt idx="12">
                  <c:v>2565085.7300000112</c:v>
                </c:pt>
              </c:numCache>
            </c:numRef>
          </c:val>
          <c:extLst>
            <c:ext xmlns:c16="http://schemas.microsoft.com/office/drawing/2014/chart" uri="{C3380CC4-5D6E-409C-BE32-E72D297353CC}">
              <c16:uniqueId val="{00000003-D56C-401E-939C-0AAAEF4D514E}"/>
            </c:ext>
          </c:extLst>
        </c:ser>
        <c:ser>
          <c:idx val="18"/>
          <c:order val="18"/>
          <c:tx>
            <c:strRef>
              <c:f>'Product Pivot.'!$T$3:$T$5</c:f>
              <c:strCache>
                <c:ptCount val="1"/>
                <c:pt idx="0">
                  <c:v>24 - Sum of avg_metal_rate</c:v>
                </c:pt>
              </c:strCache>
            </c:strRef>
          </c:tx>
          <c:spPr>
            <a:solidFill>
              <a:schemeClr val="accent1">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Pivot.'!$T$6:$T$32</c:f>
              <c:numCache>
                <c:formatCode>General</c:formatCode>
                <c:ptCount val="26"/>
                <c:pt idx="2">
                  <c:v>408.125</c:v>
                </c:pt>
                <c:pt idx="12">
                  <c:v>440.77292352349076</c:v>
                </c:pt>
              </c:numCache>
            </c:numRef>
          </c:val>
          <c:extLst>
            <c:ext xmlns:c16="http://schemas.microsoft.com/office/drawing/2014/chart" uri="{C3380CC4-5D6E-409C-BE32-E72D297353CC}">
              <c16:uniqueId val="{00000004-D56C-401E-939C-0AAAEF4D514E}"/>
            </c:ext>
          </c:extLst>
        </c:ser>
        <c:ser>
          <c:idx val="19"/>
          <c:order val="19"/>
          <c:tx>
            <c:strRef>
              <c:f>'Product Pivot.'!$U$3:$U$5</c:f>
              <c:strCache>
                <c:ptCount val="1"/>
                <c:pt idx="0">
                  <c:v>24 - Sum of transaction_count</c:v>
                </c:pt>
              </c:strCache>
            </c:strRef>
          </c:tx>
          <c:spPr>
            <a:solidFill>
              <a:schemeClr val="accent2">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Pivot.'!$U$6:$U$32</c:f>
              <c:numCache>
                <c:formatCode>General</c:formatCode>
                <c:ptCount val="26"/>
                <c:pt idx="2">
                  <c:v>16</c:v>
                </c:pt>
                <c:pt idx="12">
                  <c:v>8869</c:v>
                </c:pt>
              </c:numCache>
            </c:numRef>
          </c:val>
          <c:extLst>
            <c:ext xmlns:c16="http://schemas.microsoft.com/office/drawing/2014/chart" uri="{C3380CC4-5D6E-409C-BE32-E72D297353CC}">
              <c16:uniqueId val="{00000005-D56C-401E-939C-0AAAEF4D514E}"/>
            </c:ext>
          </c:extLst>
        </c:ser>
        <c:ser>
          <c:idx val="20"/>
          <c:order val="20"/>
          <c:tx>
            <c:strRef>
              <c:f>'Product Pivot.'!$V$3:$V$5</c:f>
              <c:strCache>
                <c:ptCount val="1"/>
                <c:pt idx="0">
                  <c:v>SILVER - Sum of weight_sold</c:v>
                </c:pt>
              </c:strCache>
            </c:strRef>
          </c:tx>
          <c:spPr>
            <a:solidFill>
              <a:schemeClr val="accent3">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Pivot.'!$V$6:$V$32</c:f>
              <c:numCache>
                <c:formatCode>General</c:formatCode>
                <c:ptCount val="26"/>
                <c:pt idx="21">
                  <c:v>933738.5</c:v>
                </c:pt>
                <c:pt idx="22">
                  <c:v>767.70000000000016</c:v>
                </c:pt>
                <c:pt idx="23">
                  <c:v>794503.79999999958</c:v>
                </c:pt>
              </c:numCache>
            </c:numRef>
          </c:val>
          <c:extLst>
            <c:ext xmlns:c16="http://schemas.microsoft.com/office/drawing/2014/chart" uri="{C3380CC4-5D6E-409C-BE32-E72D297353CC}">
              <c16:uniqueId val="{00000006-D56C-401E-939C-0AAAEF4D514E}"/>
            </c:ext>
          </c:extLst>
        </c:ser>
        <c:ser>
          <c:idx val="21"/>
          <c:order val="21"/>
          <c:tx>
            <c:strRef>
              <c:f>'Product Pivot.'!$W$3:$W$5</c:f>
              <c:strCache>
                <c:ptCount val="1"/>
                <c:pt idx="0">
                  <c:v>SILVER - Sum of revenue</c:v>
                </c:pt>
              </c:strCache>
            </c:strRef>
          </c:tx>
          <c:spPr>
            <a:solidFill>
              <a:schemeClr val="accent4">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Pivot.'!$W$6:$W$32</c:f>
              <c:numCache>
                <c:formatCode>General</c:formatCode>
                <c:ptCount val="26"/>
                <c:pt idx="21">
                  <c:v>10179776.890000001</c:v>
                </c:pt>
                <c:pt idx="22">
                  <c:v>9832.49</c:v>
                </c:pt>
                <c:pt idx="23">
                  <c:v>9354646.6400000025</c:v>
                </c:pt>
              </c:numCache>
            </c:numRef>
          </c:val>
          <c:extLst>
            <c:ext xmlns:c16="http://schemas.microsoft.com/office/drawing/2014/chart" uri="{C3380CC4-5D6E-409C-BE32-E72D297353CC}">
              <c16:uniqueId val="{00000007-D56C-401E-939C-0AAAEF4D514E}"/>
            </c:ext>
          </c:extLst>
        </c:ser>
        <c:ser>
          <c:idx val="22"/>
          <c:order val="22"/>
          <c:tx>
            <c:strRef>
              <c:f>'Product Pivot.'!$X$3:$X$5</c:f>
              <c:strCache>
                <c:ptCount val="1"/>
                <c:pt idx="0">
                  <c:v>SILVER - Sum of making_revenue</c:v>
                </c:pt>
              </c:strCache>
            </c:strRef>
          </c:tx>
          <c:spPr>
            <a:solidFill>
              <a:schemeClr val="accent5">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Pivot.'!$X$6:$X$32</c:f>
              <c:numCache>
                <c:formatCode>General</c:formatCode>
                <c:ptCount val="26"/>
                <c:pt idx="21">
                  <c:v>824856.17999999889</c:v>
                </c:pt>
                <c:pt idx="22">
                  <c:v>4884.1799999999994</c:v>
                </c:pt>
                <c:pt idx="23">
                  <c:v>564536.13999999978</c:v>
                </c:pt>
              </c:numCache>
            </c:numRef>
          </c:val>
          <c:extLst>
            <c:ext xmlns:c16="http://schemas.microsoft.com/office/drawing/2014/chart" uri="{C3380CC4-5D6E-409C-BE32-E72D297353CC}">
              <c16:uniqueId val="{00000008-D56C-401E-939C-0AAAEF4D514E}"/>
            </c:ext>
          </c:extLst>
        </c:ser>
        <c:ser>
          <c:idx val="23"/>
          <c:order val="23"/>
          <c:tx>
            <c:strRef>
              <c:f>'Product Pivot.'!$Y$3:$Y$5</c:f>
              <c:strCache>
                <c:ptCount val="1"/>
                <c:pt idx="0">
                  <c:v>SILVER - Sum of avg_metal_rate</c:v>
                </c:pt>
              </c:strCache>
            </c:strRef>
          </c:tx>
          <c:spPr>
            <a:solidFill>
              <a:schemeClr val="accent6">
                <a:lumMod val="8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Pivot.'!$Y$6:$Y$32</c:f>
              <c:numCache>
                <c:formatCode>General</c:formatCode>
                <c:ptCount val="26"/>
                <c:pt idx="21">
                  <c:v>8.3827708978328204</c:v>
                </c:pt>
                <c:pt idx="22">
                  <c:v>6.5500000000000007</c:v>
                </c:pt>
                <c:pt idx="23">
                  <c:v>10.110878489326728</c:v>
                </c:pt>
              </c:numCache>
            </c:numRef>
          </c:val>
          <c:extLst>
            <c:ext xmlns:c16="http://schemas.microsoft.com/office/drawing/2014/chart" uri="{C3380CC4-5D6E-409C-BE32-E72D297353CC}">
              <c16:uniqueId val="{00000009-D56C-401E-939C-0AAAEF4D514E}"/>
            </c:ext>
          </c:extLst>
        </c:ser>
        <c:ser>
          <c:idx val="24"/>
          <c:order val="24"/>
          <c:tx>
            <c:strRef>
              <c:f>'Product Pivot.'!$Z$3:$Z$5</c:f>
              <c:strCache>
                <c:ptCount val="1"/>
                <c:pt idx="0">
                  <c:v>SILVER - Sum of transaction_count</c:v>
                </c:pt>
              </c:strCache>
            </c:strRef>
          </c:tx>
          <c:spPr>
            <a:solidFill>
              <a:schemeClr val="accent1">
                <a:lumMod val="60000"/>
                <a:lumOff val="40000"/>
              </a:schemeClr>
            </a:solidFill>
            <a:ln>
              <a:noFill/>
            </a:ln>
            <a:effectLst/>
          </c:spPr>
          <c:invertIfNegative val="0"/>
          <c:cat>
            <c:strRef>
              <c:f>'Product Pivot.'!$A$6:$A$32</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'Product Pivot.'!$Z$6:$Z$32</c:f>
              <c:numCache>
                <c:formatCode>General</c:formatCode>
                <c:ptCount val="26"/>
                <c:pt idx="21">
                  <c:v>666</c:v>
                </c:pt>
                <c:pt idx="22">
                  <c:v>12</c:v>
                </c:pt>
                <c:pt idx="23">
                  <c:v>700</c:v>
                </c:pt>
              </c:numCache>
            </c:numRef>
          </c:val>
          <c:extLst>
            <c:ext xmlns:c16="http://schemas.microsoft.com/office/drawing/2014/chart" uri="{C3380CC4-5D6E-409C-BE32-E72D297353CC}">
              <c16:uniqueId val="{0000000A-D56C-401E-939C-0AAAEF4D514E}"/>
            </c:ext>
          </c:extLst>
        </c:ser>
        <c:dLbls>
          <c:showLegendKey val="0"/>
          <c:showVal val="0"/>
          <c:showCatName val="0"/>
          <c:showSerName val="0"/>
          <c:showPercent val="0"/>
          <c:showBubbleSize val="0"/>
        </c:dLbls>
        <c:gapWidth val="219"/>
        <c:overlap val="-27"/>
        <c:axId val="1143782175"/>
        <c:axId val="1143782591"/>
      </c:barChart>
      <c:catAx>
        <c:axId val="1143782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Making Revenue by Item Type</a:t>
                </a:r>
                <a:endParaRPr lang="en-US" b="1"/>
              </a:p>
            </c:rich>
          </c:tx>
          <c:layout>
            <c:manualLayout>
              <c:xMode val="edge"/>
              <c:yMode val="edge"/>
              <c:x val="0.35414196387216307"/>
              <c:y val="9.3768293495589058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82591"/>
        <c:crosses val="autoZero"/>
        <c:auto val="1"/>
        <c:lblAlgn val="ctr"/>
        <c:lblOffset val="100"/>
        <c:noMultiLvlLbl val="0"/>
      </c:catAx>
      <c:valAx>
        <c:axId val="1143782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8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2 – Product &amp; Karat Analysis.xlsx]Sheet4!PivotTable2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US" sz="1000" b="1" i="0" baseline="0">
                <a:effectLst/>
              </a:rPr>
              <a:t>Weight Sold by Karat</a:t>
            </a:r>
            <a:endParaRPr lang="en-US"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defRPr>
            </a:pPr>
            <a:endParaRPr lang="en-US" sz="1000"/>
          </a:p>
        </c:rich>
      </c:tx>
      <c:layout>
        <c:manualLayout>
          <c:xMode val="edge"/>
          <c:yMode val="edge"/>
          <c:x val="0.27131439004906993"/>
          <c:y val="4.057034303557001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18</c:v>
                </c:pt>
                <c:pt idx="1">
                  <c:v>21</c:v>
                </c:pt>
                <c:pt idx="2">
                  <c:v>22</c:v>
                </c:pt>
                <c:pt idx="3">
                  <c:v>24</c:v>
                </c:pt>
                <c:pt idx="4">
                  <c:v>SILVER</c:v>
                </c:pt>
              </c:strCache>
            </c:strRef>
          </c:cat>
          <c:val>
            <c:numRef>
              <c:f>Sheet4!$B$4:$B$9</c:f>
              <c:numCache>
                <c:formatCode>General</c:formatCode>
                <c:ptCount val="5"/>
                <c:pt idx="0">
                  <c:v>124.97000000000011</c:v>
                </c:pt>
                <c:pt idx="1">
                  <c:v>25968.059999999936</c:v>
                </c:pt>
                <c:pt idx="2">
                  <c:v>472716.99799999967</c:v>
                </c:pt>
                <c:pt idx="3">
                  <c:v>224053.59200000524</c:v>
                </c:pt>
                <c:pt idx="4">
                  <c:v>1729009.9999999995</c:v>
                </c:pt>
              </c:numCache>
            </c:numRef>
          </c:val>
          <c:extLst>
            <c:ext xmlns:c16="http://schemas.microsoft.com/office/drawing/2014/chart" uri="{C3380CC4-5D6E-409C-BE32-E72D297353CC}">
              <c16:uniqueId val="{00000000-AA71-4572-A7A3-5D36C370D9D6}"/>
            </c:ext>
          </c:extLst>
        </c:ser>
        <c:dLbls>
          <c:showLegendKey val="0"/>
          <c:showVal val="0"/>
          <c:showCatName val="0"/>
          <c:showSerName val="0"/>
          <c:showPercent val="0"/>
          <c:showBubbleSize val="0"/>
        </c:dLbls>
        <c:gapWidth val="219"/>
        <c:overlap val="-27"/>
        <c:axId val="1148654847"/>
        <c:axId val="1148656511"/>
      </c:barChart>
      <c:catAx>
        <c:axId val="1148654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56511"/>
        <c:crosses val="autoZero"/>
        <c:auto val="1"/>
        <c:lblAlgn val="ctr"/>
        <c:lblOffset val="100"/>
        <c:noMultiLvlLbl val="0"/>
      </c:catAx>
      <c:valAx>
        <c:axId val="11486565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5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76200</xdr:colOff>
      <xdr:row>21</xdr:row>
      <xdr:rowOff>76200</xdr:rowOff>
    </xdr:to>
    <xdr:sp macro="" textlink="">
      <xdr:nvSpPr>
        <xdr:cNvPr id="3" name="TextBox 2">
          <a:extLst>
            <a:ext uri="{FF2B5EF4-FFF2-40B4-BE49-F238E27FC236}">
              <a16:creationId xmlns:a16="http://schemas.microsoft.com/office/drawing/2014/main" id="{BA812BB0-00A8-4E34-8C95-0DBC14703C2F}"/>
            </a:ext>
          </a:extLst>
        </xdr:cNvPr>
        <xdr:cNvSpPr txBox="1"/>
      </xdr:nvSpPr>
      <xdr:spPr>
        <a:xfrm>
          <a:off x="0" y="0"/>
          <a:ext cx="9220200" cy="394335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cap="none" spc="0" baseline="0">
              <a:ln w="0"/>
              <a:solidFill>
                <a:schemeClr val="bg1"/>
              </a:solidFill>
              <a:effectLst>
                <a:outerShdw blurRad="38100" dist="19050" dir="2700000" algn="tl" rotWithShape="0">
                  <a:schemeClr val="dk1">
                    <a:alpha val="40000"/>
                  </a:schemeClr>
                </a:outerShdw>
              </a:effectLst>
            </a:rPr>
            <a:t>  		</a:t>
          </a:r>
          <a:endParaRPr lang="en-US" b="0" cap="none" spc="0">
            <a:ln w="0"/>
            <a:solidFill>
              <a:schemeClr val="bg1"/>
            </a:solidFill>
            <a:effectLst>
              <a:outerShdw blurRad="38100" dist="19050" dir="2700000" algn="tl" rotWithShape="0">
                <a:schemeClr val="dk1">
                  <a:alpha val="40000"/>
                </a:schemeClr>
              </a:outerShdw>
            </a:effectLst>
          </a:endParaRPr>
        </a:p>
        <a:p>
          <a:endParaRPr lang="en-US" sz="1100" b="0" cap="none" spc="0">
            <a:ln w="0"/>
            <a:solidFill>
              <a:schemeClr val="bg1"/>
            </a:solidFill>
            <a:effectLst>
              <a:outerShdw blurRad="38100" dist="19050" dir="2700000" algn="tl" rotWithShape="0">
                <a:schemeClr val="dk1">
                  <a:alpha val="40000"/>
                </a:schemeClr>
              </a:outerShdw>
            </a:effectLst>
          </a:endParaRPr>
        </a:p>
        <a:p>
          <a:endParaRPr lang="en-US" sz="1100" b="0" cap="none" spc="0">
            <a:ln w="0"/>
            <a:solidFill>
              <a:schemeClr val="bg1"/>
            </a:solidFill>
            <a:effectLst>
              <a:outerShdw blurRad="38100" dist="19050" dir="2700000" algn="tl" rotWithShape="0">
                <a:schemeClr val="dk1">
                  <a:alpha val="40000"/>
                </a:schemeClr>
              </a:outerShdw>
            </a:effectLst>
          </a:endParaRPr>
        </a:p>
        <a:p>
          <a:endParaRPr lang="en-US" sz="1100" b="0" cap="none" spc="0">
            <a:ln w="0"/>
            <a:solidFill>
              <a:schemeClr val="bg1"/>
            </a:solidFill>
            <a:effectLst>
              <a:outerShdw blurRad="38100" dist="19050" dir="2700000" algn="tl" rotWithShape="0">
                <a:schemeClr val="dk1">
                  <a:alpha val="40000"/>
                </a:schemeClr>
              </a:outerShdw>
            </a:effectLst>
          </a:endParaRPr>
        </a:p>
        <a:p>
          <a:endParaRPr lang="en-US" sz="1100" b="0" cap="none" spc="0">
            <a:ln w="0"/>
            <a:solidFill>
              <a:schemeClr val="bg1"/>
            </a:solidFill>
            <a:effectLst>
              <a:outerShdw blurRad="38100" dist="19050" dir="2700000" algn="tl" rotWithShape="0">
                <a:schemeClr val="dk1">
                  <a:alpha val="40000"/>
                </a:schemeClr>
              </a:outerShdw>
            </a:effectLst>
          </a:endParaRPr>
        </a:p>
        <a:p>
          <a:endParaRPr lang="en-US" sz="1100" b="0" cap="none" spc="0">
            <a:ln w="0"/>
            <a:solidFill>
              <a:schemeClr val="bg1"/>
            </a:solidFill>
            <a:effectLst>
              <a:outerShdw blurRad="38100" dist="19050" dir="2700000" algn="tl" rotWithShape="0">
                <a:schemeClr val="dk1">
                  <a:alpha val="40000"/>
                </a:schemeClr>
              </a:outerShdw>
            </a:effectLst>
          </a:endParaRPr>
        </a:p>
        <a:p>
          <a:endParaRPr lang="en-US" sz="11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190500</xdr:colOff>
      <xdr:row>0</xdr:row>
      <xdr:rowOff>101600</xdr:rowOff>
    </xdr:from>
    <xdr:to>
      <xdr:col>9</xdr:col>
      <xdr:colOff>196850</xdr:colOff>
      <xdr:row>2</xdr:row>
      <xdr:rowOff>177800</xdr:rowOff>
    </xdr:to>
    <xdr:sp macro="" textlink="">
      <xdr:nvSpPr>
        <xdr:cNvPr id="4" name="TextBox 3">
          <a:extLst>
            <a:ext uri="{FF2B5EF4-FFF2-40B4-BE49-F238E27FC236}">
              <a16:creationId xmlns:a16="http://schemas.microsoft.com/office/drawing/2014/main" id="{69824EEA-0DD1-4013-9A87-5C638E6DFCCB}"/>
            </a:ext>
          </a:extLst>
        </xdr:cNvPr>
        <xdr:cNvSpPr txBox="1"/>
      </xdr:nvSpPr>
      <xdr:spPr>
        <a:xfrm>
          <a:off x="2019300" y="101600"/>
          <a:ext cx="3663950" cy="4445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accent5">
                  <a:lumMod val="50000"/>
                </a:schemeClr>
              </a:solidFill>
              <a:effectLst>
                <a:outerShdw blurRad="38100" dist="19050" dir="2700000" algn="tl" rotWithShape="0">
                  <a:schemeClr val="dk1">
                    <a:alpha val="40000"/>
                  </a:schemeClr>
                </a:outerShdw>
              </a:effectLst>
              <a:latin typeface="+mn-lt"/>
              <a:ea typeface="+mn-ea"/>
              <a:cs typeface="+mn-cs"/>
            </a:rPr>
            <a:t> Product</a:t>
          </a:r>
          <a:r>
            <a:rPr lang="en-US" sz="2000" b="1" baseline="0">
              <a:solidFill>
                <a:schemeClr val="accent5">
                  <a:lumMod val="50000"/>
                </a:schemeClr>
              </a:solidFill>
              <a:effectLst>
                <a:outerShdw blurRad="38100" dist="19050" dir="2700000" algn="tl" rotWithShape="0">
                  <a:schemeClr val="dk1">
                    <a:alpha val="40000"/>
                  </a:schemeClr>
                </a:outerShdw>
              </a:effectLst>
              <a:latin typeface="+mn-lt"/>
              <a:ea typeface="+mn-ea"/>
              <a:cs typeface="+mn-cs"/>
            </a:rPr>
            <a:t> &amp; Karat Analysis</a:t>
          </a:r>
          <a:endParaRPr lang="en-US" sz="2000" b="1">
            <a:solidFill>
              <a:schemeClr val="accent5">
                <a:lumMod val="50000"/>
              </a:schemeClr>
            </a:solidFill>
            <a:effectLst/>
          </a:endParaRPr>
        </a:p>
        <a:p>
          <a:pPr algn="l"/>
          <a:endParaRPr lang="en-US" sz="1100"/>
        </a:p>
      </xdr:txBody>
    </xdr:sp>
    <xdr:clientData/>
  </xdr:twoCellAnchor>
  <xdr:twoCellAnchor>
    <xdr:from>
      <xdr:col>0</xdr:col>
      <xdr:colOff>0</xdr:colOff>
      <xdr:row>3</xdr:row>
      <xdr:rowOff>63500</xdr:rowOff>
    </xdr:from>
    <xdr:to>
      <xdr:col>2</xdr:col>
      <xdr:colOff>298450</xdr:colOff>
      <xdr:row>5</xdr:row>
      <xdr:rowOff>25400</xdr:rowOff>
    </xdr:to>
    <xdr:sp macro="" textlink="">
      <xdr:nvSpPr>
        <xdr:cNvPr id="5" name="Rectangle: Rounded Corners 4">
          <a:extLst>
            <a:ext uri="{FF2B5EF4-FFF2-40B4-BE49-F238E27FC236}">
              <a16:creationId xmlns:a16="http://schemas.microsoft.com/office/drawing/2014/main" id="{EE226AAE-6697-413F-9F57-ECC05BACCE00}"/>
            </a:ext>
          </a:extLst>
        </xdr:cNvPr>
        <xdr:cNvSpPr/>
      </xdr:nvSpPr>
      <xdr:spPr>
        <a:xfrm>
          <a:off x="0" y="615950"/>
          <a:ext cx="1517650" cy="3302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b="1"/>
            <a:t>Total Revenue </a:t>
          </a:r>
          <a:endParaRPr lang="en-US" sz="1100" b="1"/>
        </a:p>
      </xdr:txBody>
    </xdr:sp>
    <xdr:clientData/>
  </xdr:twoCellAnchor>
  <xdr:twoCellAnchor>
    <xdr:from>
      <xdr:col>0</xdr:col>
      <xdr:colOff>0</xdr:colOff>
      <xdr:row>7</xdr:row>
      <xdr:rowOff>69850</xdr:rowOff>
    </xdr:from>
    <xdr:to>
      <xdr:col>2</xdr:col>
      <xdr:colOff>254000</xdr:colOff>
      <xdr:row>9</xdr:row>
      <xdr:rowOff>6350</xdr:rowOff>
    </xdr:to>
    <xdr:sp macro="" textlink="">
      <xdr:nvSpPr>
        <xdr:cNvPr id="6" name="Rectangle: Rounded Corners 5">
          <a:extLst>
            <a:ext uri="{FF2B5EF4-FFF2-40B4-BE49-F238E27FC236}">
              <a16:creationId xmlns:a16="http://schemas.microsoft.com/office/drawing/2014/main" id="{D5E86891-1EB2-4938-BF14-C5EDB75DE2FD}"/>
            </a:ext>
          </a:extLst>
        </xdr:cNvPr>
        <xdr:cNvSpPr/>
      </xdr:nvSpPr>
      <xdr:spPr>
        <a:xfrm>
          <a:off x="0" y="1358900"/>
          <a:ext cx="1473200" cy="3048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b="1"/>
            <a:t>Total</a:t>
          </a:r>
          <a:r>
            <a:rPr lang="en-US" b="1" baseline="0"/>
            <a:t> </a:t>
          </a:r>
          <a:r>
            <a:rPr lang="en-US" b="1"/>
            <a:t>Weight Sold </a:t>
          </a:r>
          <a:endParaRPr lang="en-US" sz="1100" b="1"/>
        </a:p>
      </xdr:txBody>
    </xdr:sp>
    <xdr:clientData/>
  </xdr:twoCellAnchor>
  <xdr:twoCellAnchor>
    <xdr:from>
      <xdr:col>0</xdr:col>
      <xdr:colOff>0</xdr:colOff>
      <xdr:row>11</xdr:row>
      <xdr:rowOff>44450</xdr:rowOff>
    </xdr:from>
    <xdr:to>
      <xdr:col>2</xdr:col>
      <xdr:colOff>336550</xdr:colOff>
      <xdr:row>13</xdr:row>
      <xdr:rowOff>6350</xdr:rowOff>
    </xdr:to>
    <xdr:sp macro="" textlink="">
      <xdr:nvSpPr>
        <xdr:cNvPr id="7" name="Rectangle: Rounded Corners 6">
          <a:extLst>
            <a:ext uri="{FF2B5EF4-FFF2-40B4-BE49-F238E27FC236}">
              <a16:creationId xmlns:a16="http://schemas.microsoft.com/office/drawing/2014/main" id="{BEA56FF2-D61C-4901-A08B-C67E2AC38B13}"/>
            </a:ext>
          </a:extLst>
        </xdr:cNvPr>
        <xdr:cNvSpPr/>
      </xdr:nvSpPr>
      <xdr:spPr>
        <a:xfrm>
          <a:off x="0" y="2070100"/>
          <a:ext cx="1555750" cy="3302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b="1"/>
            <a:t>Total Making Revenue</a:t>
          </a:r>
          <a:endParaRPr lang="en-US" sz="1100" b="1"/>
        </a:p>
      </xdr:txBody>
    </xdr:sp>
    <xdr:clientData/>
  </xdr:twoCellAnchor>
  <xdr:twoCellAnchor>
    <xdr:from>
      <xdr:col>0</xdr:col>
      <xdr:colOff>0</xdr:colOff>
      <xdr:row>15</xdr:row>
      <xdr:rowOff>38100</xdr:rowOff>
    </xdr:from>
    <xdr:to>
      <xdr:col>2</xdr:col>
      <xdr:colOff>330200</xdr:colOff>
      <xdr:row>17</xdr:row>
      <xdr:rowOff>25400</xdr:rowOff>
    </xdr:to>
    <xdr:sp macro="" textlink="">
      <xdr:nvSpPr>
        <xdr:cNvPr id="8" name="Rectangle: Rounded Corners 7">
          <a:extLst>
            <a:ext uri="{FF2B5EF4-FFF2-40B4-BE49-F238E27FC236}">
              <a16:creationId xmlns:a16="http://schemas.microsoft.com/office/drawing/2014/main" id="{675A5F2A-C678-4665-8720-B4BA9F6FB35A}"/>
            </a:ext>
          </a:extLst>
        </xdr:cNvPr>
        <xdr:cNvSpPr/>
      </xdr:nvSpPr>
      <xdr:spPr>
        <a:xfrm>
          <a:off x="0" y="2800350"/>
          <a:ext cx="1549400" cy="3556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b="1"/>
            <a:t>Total Transactions</a:t>
          </a:r>
          <a:endParaRPr lang="en-US" sz="1100" b="1"/>
        </a:p>
      </xdr:txBody>
    </xdr:sp>
    <xdr:clientData/>
  </xdr:twoCellAnchor>
  <xdr:twoCellAnchor>
    <xdr:from>
      <xdr:col>0</xdr:col>
      <xdr:colOff>0</xdr:colOff>
      <xdr:row>5</xdr:row>
      <xdr:rowOff>50800</xdr:rowOff>
    </xdr:from>
    <xdr:to>
      <xdr:col>1</xdr:col>
      <xdr:colOff>603250</xdr:colOff>
      <xdr:row>7</xdr:row>
      <xdr:rowOff>44450</xdr:rowOff>
    </xdr:to>
    <xdr:sp macro="" textlink="Sheet4!F7">
      <xdr:nvSpPr>
        <xdr:cNvPr id="13" name="Rectangle: Rounded Corners 12">
          <a:extLst>
            <a:ext uri="{FF2B5EF4-FFF2-40B4-BE49-F238E27FC236}">
              <a16:creationId xmlns:a16="http://schemas.microsoft.com/office/drawing/2014/main" id="{74FB7558-417F-4B01-A823-197DE428C339}"/>
            </a:ext>
          </a:extLst>
        </xdr:cNvPr>
        <xdr:cNvSpPr/>
      </xdr:nvSpPr>
      <xdr:spPr>
        <a:xfrm>
          <a:off x="0" y="971550"/>
          <a:ext cx="1212850" cy="3619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726F39F7-42D5-4323-BD56-0208C18BEDFD}"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342765928.6</a:t>
          </a:fld>
          <a:endParaRPr lang="en-US" sz="11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6350</xdr:colOff>
      <xdr:row>17</xdr:row>
      <xdr:rowOff>50800</xdr:rowOff>
    </xdr:from>
    <xdr:to>
      <xdr:col>1</xdr:col>
      <xdr:colOff>552450</xdr:colOff>
      <xdr:row>19</xdr:row>
      <xdr:rowOff>44450</xdr:rowOff>
    </xdr:to>
    <xdr:sp macro="" textlink="Sheet4!F10">
      <xdr:nvSpPr>
        <xdr:cNvPr id="14" name="Rectangle: Rounded Corners 13">
          <a:extLst>
            <a:ext uri="{FF2B5EF4-FFF2-40B4-BE49-F238E27FC236}">
              <a16:creationId xmlns:a16="http://schemas.microsoft.com/office/drawing/2014/main" id="{BD754DC2-76C5-44A8-A900-15FEF8673BF6}"/>
            </a:ext>
          </a:extLst>
        </xdr:cNvPr>
        <xdr:cNvSpPr/>
      </xdr:nvSpPr>
      <xdr:spPr>
        <a:xfrm>
          <a:off x="6350" y="3181350"/>
          <a:ext cx="1155700" cy="3619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B7B3B0DB-803E-41E0-A774-EACE2FEA87F6}"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68463</a:t>
          </a:fld>
          <a:endParaRPr lang="en-US" sz="11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13</xdr:row>
      <xdr:rowOff>12700</xdr:rowOff>
    </xdr:from>
    <xdr:to>
      <xdr:col>1</xdr:col>
      <xdr:colOff>546100</xdr:colOff>
      <xdr:row>15</xdr:row>
      <xdr:rowOff>6350</xdr:rowOff>
    </xdr:to>
    <xdr:sp macro="" textlink="Sheet4!F9">
      <xdr:nvSpPr>
        <xdr:cNvPr id="15" name="Rectangle: Rounded Corners 14">
          <a:extLst>
            <a:ext uri="{FF2B5EF4-FFF2-40B4-BE49-F238E27FC236}">
              <a16:creationId xmlns:a16="http://schemas.microsoft.com/office/drawing/2014/main" id="{D78F7EBB-B58B-497B-B10B-D36995B743B7}"/>
            </a:ext>
          </a:extLst>
        </xdr:cNvPr>
        <xdr:cNvSpPr/>
      </xdr:nvSpPr>
      <xdr:spPr>
        <a:xfrm>
          <a:off x="0" y="2406650"/>
          <a:ext cx="1155700" cy="3619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02CB1666-A8D1-420F-A680-443E7BBE07C7}"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29900262.19</a:t>
          </a:fld>
          <a:endParaRPr lang="en-US" sz="11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9</xdr:row>
      <xdr:rowOff>31750</xdr:rowOff>
    </xdr:from>
    <xdr:to>
      <xdr:col>2</xdr:col>
      <xdr:colOff>190500</xdr:colOff>
      <xdr:row>11</xdr:row>
      <xdr:rowOff>25400</xdr:rowOff>
    </xdr:to>
    <xdr:sp macro="" textlink="Sheet4!F8">
      <xdr:nvSpPr>
        <xdr:cNvPr id="16" name="Rectangle: Rounded Corners 15">
          <a:extLst>
            <a:ext uri="{FF2B5EF4-FFF2-40B4-BE49-F238E27FC236}">
              <a16:creationId xmlns:a16="http://schemas.microsoft.com/office/drawing/2014/main" id="{7EC10F8A-4A16-4149-AEF3-4C2B58EEE417}"/>
            </a:ext>
          </a:extLst>
        </xdr:cNvPr>
        <xdr:cNvSpPr/>
      </xdr:nvSpPr>
      <xdr:spPr>
        <a:xfrm>
          <a:off x="0" y="1689100"/>
          <a:ext cx="1409700" cy="3619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99879EB0-3EA9-4AEA-B994-753E4D3D7D41}"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2451873.62</a:t>
          </a:fld>
          <a:endParaRPr lang="en-US" sz="11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552451</xdr:colOff>
      <xdr:row>13</xdr:row>
      <xdr:rowOff>95250</xdr:rowOff>
    </xdr:from>
    <xdr:to>
      <xdr:col>10</xdr:col>
      <xdr:colOff>209550</xdr:colOff>
      <xdr:row>20</xdr:row>
      <xdr:rowOff>120649</xdr:rowOff>
    </xdr:to>
    <xdr:graphicFrame macro="">
      <xdr:nvGraphicFramePr>
        <xdr:cNvPr id="17" name="Chart 16">
          <a:extLst>
            <a:ext uri="{FF2B5EF4-FFF2-40B4-BE49-F238E27FC236}">
              <a16:creationId xmlns:a16="http://schemas.microsoft.com/office/drawing/2014/main" id="{27AFC54D-B71D-4903-A58F-F21CA917E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323850</xdr:colOff>
      <xdr:row>4</xdr:row>
      <xdr:rowOff>101600</xdr:rowOff>
    </xdr:from>
    <xdr:to>
      <xdr:col>5</xdr:col>
      <xdr:colOff>527050</xdr:colOff>
      <xdr:row>12</xdr:row>
      <xdr:rowOff>57150</xdr:rowOff>
    </xdr:to>
    <xdr:graphicFrame macro="">
      <xdr:nvGraphicFramePr>
        <xdr:cNvPr id="18" name="Chart 17">
          <a:extLst>
            <a:ext uri="{FF2B5EF4-FFF2-40B4-BE49-F238E27FC236}">
              <a16:creationId xmlns:a16="http://schemas.microsoft.com/office/drawing/2014/main" id="{B7F50267-DCB7-438B-ABA8-2781B5B05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552450</xdr:colOff>
      <xdr:row>4</xdr:row>
      <xdr:rowOff>95250</xdr:rowOff>
    </xdr:from>
    <xdr:to>
      <xdr:col>10</xdr:col>
      <xdr:colOff>222250</xdr:colOff>
      <xdr:row>13</xdr:row>
      <xdr:rowOff>76200</xdr:rowOff>
    </xdr:to>
    <xdr:graphicFrame macro="">
      <xdr:nvGraphicFramePr>
        <xdr:cNvPr id="19" name="Chart 18">
          <a:extLst>
            <a:ext uri="{FF2B5EF4-FFF2-40B4-BE49-F238E27FC236}">
              <a16:creationId xmlns:a16="http://schemas.microsoft.com/office/drawing/2014/main" id="{53E5E45D-0183-4B31-99E1-9CD103595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215900</xdr:colOff>
      <xdr:row>13</xdr:row>
      <xdr:rowOff>97575</xdr:rowOff>
    </xdr:from>
    <xdr:to>
      <xdr:col>12</xdr:col>
      <xdr:colOff>463550</xdr:colOff>
      <xdr:row>20</xdr:row>
      <xdr:rowOff>146050</xdr:rowOff>
    </xdr:to>
    <mc:AlternateContent xmlns:mc="http://schemas.openxmlformats.org/markup-compatibility/2006">
      <mc:Choice xmlns:a14="http://schemas.microsoft.com/office/drawing/2010/main" Requires="a14">
        <xdr:graphicFrame macro="">
          <xdr:nvGraphicFramePr>
            <xdr:cNvPr id="20" name="item_type_name">
              <a:extLst>
                <a:ext uri="{FF2B5EF4-FFF2-40B4-BE49-F238E27FC236}">
                  <a16:creationId xmlns:a16="http://schemas.microsoft.com/office/drawing/2014/main" id="{2817C1D8-A3C8-4A81-BEA7-D84CBAC2C3B6}"/>
                </a:ext>
              </a:extLst>
            </xdr:cNvPr>
            <xdr:cNvGraphicFramePr/>
          </xdr:nvGraphicFramePr>
          <xdr:xfrm>
            <a:off x="0" y="0"/>
            <a:ext cx="0" cy="0"/>
          </xdr:xfrm>
          <a:graphic>
            <a:graphicData uri="http://schemas.microsoft.com/office/drawing/2010/slicer">
              <sle:slicer xmlns:sle="http://schemas.microsoft.com/office/drawing/2010/slicer" name="item_type_name"/>
            </a:graphicData>
          </a:graphic>
        </xdr:graphicFrame>
      </mc:Choice>
      <mc:Fallback>
        <xdr:sp macro="" textlink="">
          <xdr:nvSpPr>
            <xdr:cNvPr id="0" name=""/>
            <xdr:cNvSpPr>
              <a:spLocks noTextEdit="1"/>
            </xdr:cNvSpPr>
          </xdr:nvSpPr>
          <xdr:spPr>
            <a:xfrm>
              <a:off x="6311900" y="2491525"/>
              <a:ext cx="1466850" cy="133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215900</xdr:colOff>
      <xdr:row>4</xdr:row>
      <xdr:rowOff>57150</xdr:rowOff>
    </xdr:from>
    <xdr:to>
      <xdr:col>12</xdr:col>
      <xdr:colOff>463550</xdr:colOff>
      <xdr:row>13</xdr:row>
      <xdr:rowOff>99275</xdr:rowOff>
    </xdr:to>
    <mc:AlternateContent xmlns:mc="http://schemas.openxmlformats.org/markup-compatibility/2006">
      <mc:Choice xmlns:a14="http://schemas.microsoft.com/office/drawing/2010/main" Requires="a14">
        <xdr:graphicFrame macro="">
          <xdr:nvGraphicFramePr>
            <xdr:cNvPr id="21" name="karat_name">
              <a:extLst>
                <a:ext uri="{FF2B5EF4-FFF2-40B4-BE49-F238E27FC236}">
                  <a16:creationId xmlns:a16="http://schemas.microsoft.com/office/drawing/2014/main" id="{8DFC856F-2DF5-4629-A182-6DAF04FE5AFD}"/>
                </a:ext>
              </a:extLst>
            </xdr:cNvPr>
            <xdr:cNvGraphicFramePr/>
          </xdr:nvGraphicFramePr>
          <xdr:xfrm>
            <a:off x="0" y="0"/>
            <a:ext cx="0" cy="0"/>
          </xdr:xfrm>
          <a:graphic>
            <a:graphicData uri="http://schemas.microsoft.com/office/drawing/2010/slicer">
              <sle:slicer xmlns:sle="http://schemas.microsoft.com/office/drawing/2010/slicer" name="karat_name"/>
            </a:graphicData>
          </a:graphic>
        </xdr:graphicFrame>
      </mc:Choice>
      <mc:Fallback>
        <xdr:sp macro="" textlink="">
          <xdr:nvSpPr>
            <xdr:cNvPr id="0" name=""/>
            <xdr:cNvSpPr>
              <a:spLocks noTextEdit="1"/>
            </xdr:cNvSpPr>
          </xdr:nvSpPr>
          <xdr:spPr>
            <a:xfrm>
              <a:off x="6311900" y="793750"/>
              <a:ext cx="1466850" cy="1699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311150</xdr:colOff>
      <xdr:row>12</xdr:row>
      <xdr:rowOff>101599</xdr:rowOff>
    </xdr:from>
    <xdr:to>
      <xdr:col>5</xdr:col>
      <xdr:colOff>552450</xdr:colOff>
      <xdr:row>20</xdr:row>
      <xdr:rowOff>139700</xdr:rowOff>
    </xdr:to>
    <xdr:graphicFrame macro="">
      <xdr:nvGraphicFramePr>
        <xdr:cNvPr id="23" name="Chart 22">
          <a:extLst>
            <a:ext uri="{FF2B5EF4-FFF2-40B4-BE49-F238E27FC236}">
              <a16:creationId xmlns:a16="http://schemas.microsoft.com/office/drawing/2014/main" id="{84AA6098-63C4-4724-938F-41CE28F50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8.42527349537" createdVersion="7" refreshedVersion="7" minRefreshableVersion="3" recordCount="46" xr:uid="{AF5EA58E-4B19-43AE-BD74-FA9D084E4CA3}">
  <cacheSource type="worksheet">
    <worksheetSource name="Product_Analysis_Data"/>
  </cacheSource>
  <cacheFields count="7">
    <cacheField name="item_type_name" numFmtId="0">
      <sharedItems count="26">
        <s v="GOLD"/>
        <s v="CHAIN"/>
        <s v="NECKLACE"/>
        <s v="BANGLE"/>
        <s v="EARING"/>
        <s v="RING"/>
        <s v="PRESELT"/>
        <s v="SILVER"/>
        <s v="Silver Bar"/>
        <s v="21 KR OLD GOLD"/>
        <s v="COIN"/>
        <s v="22 KR OLD GOLD"/>
        <s v="LOKET"/>
        <s v="ANKLET"/>
        <s v="WRING"/>
        <s v="BALAK"/>
        <s v="BLACK NEKLESE"/>
        <s v="24KR OLD GOLD"/>
        <s v="TICKLY"/>
        <s v="KAF"/>
        <s v="GOLD WATCH"/>
        <s v="BELT"/>
        <s v="CHAINTH"/>
        <s v="MG"/>
        <s v="Silver Bangle"/>
        <s v="Nosepin"/>
      </sharedItems>
    </cacheField>
    <cacheField name="karat_name" numFmtId="0">
      <sharedItems count="5">
        <s v="24"/>
        <s v="22"/>
        <s v="SILVER"/>
        <s v="21"/>
        <s v="18"/>
      </sharedItems>
    </cacheField>
    <cacheField name="revenue" numFmtId="0">
      <sharedItems containsSemiMixedTypes="0" containsString="0" containsNumber="1" minValue="1250" maxValue="100479453.07999989"/>
    </cacheField>
    <cacheField name="weight_sold" numFmtId="0">
      <sharedItems containsSemiMixedTypes="0" containsString="0" containsNumber="1" minValue="3" maxValue="933738.5"/>
    </cacheField>
    <cacheField name="making_revenue" numFmtId="0">
      <sharedItems containsSemiMixedTypes="0" containsString="0" containsNumber="1" minValue="20.95" maxValue="5804270.4400000414"/>
    </cacheField>
    <cacheField name="avg_metal_rate" numFmtId="0">
      <sharedItems containsSemiMixedTypes="0" containsString="0" containsNumber="1" minValue="6.5500000000000007" maxValue="478.10315789473691"/>
    </cacheField>
    <cacheField name="transaction_count" numFmtId="0">
      <sharedItems containsSemiMixedTypes="0" containsString="0" containsNumber="1" containsInteger="1" minValue="1" maxValue="15110"/>
    </cacheField>
  </cacheFields>
  <extLst>
    <ext xmlns:x14="http://schemas.microsoft.com/office/spreadsheetml/2009/9/main" uri="{725AE2AE-9491-48be-B2B4-4EB974FC3084}">
      <x14:pivotCacheDefinition pivotCacheId="1969067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n v="100479453.07999989"/>
    <n v="223254.59200000524"/>
    <n v="2565085.7300000112"/>
    <n v="440.77292352349076"/>
    <n v="8869"/>
  </r>
  <r>
    <x v="1"/>
    <x v="1"/>
    <n v="57208828.530000001"/>
    <n v="129777.90300000024"/>
    <n v="5804270.4400000414"/>
    <n v="393.21335193289286"/>
    <n v="12400"/>
  </r>
  <r>
    <x v="2"/>
    <x v="1"/>
    <n v="36878051.870000005"/>
    <n v="81955.505999999892"/>
    <n v="4521238.9600000139"/>
    <n v="397.9716763159081"/>
    <n v="4447"/>
  </r>
  <r>
    <x v="3"/>
    <x v="1"/>
    <n v="35472721.5"/>
    <n v="80378.126000000033"/>
    <n v="3624055.7500000126"/>
    <n v="392.75499644618657"/>
    <n v="3495"/>
  </r>
  <r>
    <x v="4"/>
    <x v="1"/>
    <n v="30150165.82"/>
    <n v="63974.022999999899"/>
    <n v="4816060.4999999739"/>
    <n v="394.88952559004241"/>
    <n v="15110"/>
  </r>
  <r>
    <x v="5"/>
    <x v="1"/>
    <n v="17199625.009999998"/>
    <n v="35445.743999999671"/>
    <n v="3168000.0600000168"/>
    <n v="397.29003078270728"/>
    <n v="11412"/>
  </r>
  <r>
    <x v="6"/>
    <x v="1"/>
    <n v="10385006"/>
    <n v="22543.528999999904"/>
    <n v="1485045.8200000038"/>
    <n v="392.8557042821796"/>
    <n v="3078"/>
  </r>
  <r>
    <x v="7"/>
    <x v="2"/>
    <n v="10179776.890000001"/>
    <n v="933738.5"/>
    <n v="824856.17999999889"/>
    <n v="8.3827708978328204"/>
    <n v="666"/>
  </r>
  <r>
    <x v="8"/>
    <x v="2"/>
    <n v="9354646.6400000025"/>
    <n v="794503.79999999958"/>
    <n v="564536.13999999978"/>
    <n v="10.110878489326728"/>
    <n v="700"/>
  </r>
  <r>
    <x v="9"/>
    <x v="3"/>
    <n v="7955727.2000000002"/>
    <n v="21635.280999999941"/>
    <n v="64482.99000000002"/>
    <n v="386.91828025477764"/>
    <n v="301"/>
  </r>
  <r>
    <x v="10"/>
    <x v="1"/>
    <n v="7336657.0599999977"/>
    <n v="17553.18"/>
    <n v="266709.59000000026"/>
    <n v="398.14219330943894"/>
    <n v="1612"/>
  </r>
  <r>
    <x v="11"/>
    <x v="1"/>
    <n v="6004607"/>
    <n v="15802.010000000004"/>
    <n v="64369.380000000019"/>
    <n v="406.24414634146399"/>
    <n v="317"/>
  </r>
  <r>
    <x v="12"/>
    <x v="1"/>
    <n v="3738407.5"/>
    <n v="7522.537000000013"/>
    <n v="684465.09999999835"/>
    <n v="395.20688410767752"/>
    <n v="2875"/>
  </r>
  <r>
    <x v="13"/>
    <x v="1"/>
    <n v="3580989"/>
    <n v="8180.5300000000034"/>
    <n v="376307.05000000022"/>
    <n v="388.74512024896273"/>
    <n v="520"/>
  </r>
  <r>
    <x v="14"/>
    <x v="1"/>
    <n v="2314915.9900000002"/>
    <n v="4584.4000000000015"/>
    <n v="446811.28000000067"/>
    <n v="407.73190272727248"/>
    <n v="1109"/>
  </r>
  <r>
    <x v="15"/>
    <x v="1"/>
    <n v="738098"/>
    <n v="1555.1100000000001"/>
    <n v="107375.03999999989"/>
    <n v="406.51517095541431"/>
    <n v="231"/>
  </r>
  <r>
    <x v="2"/>
    <x v="3"/>
    <n v="583520.76999999979"/>
    <n v="1458.5000000000005"/>
    <n v="68624.690000000031"/>
    <n v="355.03227201257874"/>
    <n v="135"/>
  </r>
  <r>
    <x v="16"/>
    <x v="1"/>
    <n v="577485"/>
    <n v="1282.9699999999996"/>
    <n v="98181.809999999983"/>
    <n v="372.68282904761912"/>
    <n v="84"/>
  </r>
  <r>
    <x v="3"/>
    <x v="3"/>
    <n v="533734"/>
    <n v="1365.7599999999998"/>
    <n v="29480.99"/>
    <n v="349.76317796610164"/>
    <n v="34"/>
  </r>
  <r>
    <x v="17"/>
    <x v="0"/>
    <n v="320565"/>
    <n v="799"/>
    <n v="3499.08"/>
    <n v="408.125"/>
    <n v="16"/>
  </r>
  <r>
    <x v="18"/>
    <x v="1"/>
    <n v="294250"/>
    <n v="635.82999999999993"/>
    <n v="35189.839999999997"/>
    <n v="413.59566511627901"/>
    <n v="84"/>
  </r>
  <r>
    <x v="19"/>
    <x v="1"/>
    <n v="274290"/>
    <n v="581.46999999999991"/>
    <n v="35517.509999999995"/>
    <n v="430.04763300000002"/>
    <n v="39"/>
  </r>
  <r>
    <x v="20"/>
    <x v="1"/>
    <n v="215721.99"/>
    <n v="406.27"/>
    <n v="40082.01"/>
    <n v="433.32608695652181"/>
    <n v="21"/>
  </r>
  <r>
    <x v="5"/>
    <x v="3"/>
    <n v="178943.62"/>
    <n v="414.77899999999988"/>
    <n v="39852.889999999985"/>
    <n v="333.7057592592592"/>
    <n v="128"/>
  </r>
  <r>
    <x v="4"/>
    <x v="3"/>
    <n v="149019"/>
    <n v="330.36000000000024"/>
    <n v="32269.690000000017"/>
    <n v="351.9007894736842"/>
    <n v="127"/>
  </r>
  <r>
    <x v="21"/>
    <x v="1"/>
    <n v="147451"/>
    <n v="331.79999999999995"/>
    <n v="13837.57"/>
    <n v="408.26903589743591"/>
    <n v="39"/>
  </r>
  <r>
    <x v="6"/>
    <x v="3"/>
    <n v="128229.1"/>
    <n v="294.53000000000026"/>
    <n v="21095.089999999989"/>
    <n v="364.26781716417912"/>
    <n v="65"/>
  </r>
  <r>
    <x v="12"/>
    <x v="3"/>
    <n v="90733"/>
    <n v="203.24000000000004"/>
    <n v="19681.520000000004"/>
    <n v="350.43582770270268"/>
    <n v="70"/>
  </r>
  <r>
    <x v="14"/>
    <x v="3"/>
    <n v="81403"/>
    <n v="181.51000000000002"/>
    <n v="20318.090000000004"/>
    <n v="339.20428571428556"/>
    <n v="79"/>
  </r>
  <r>
    <x v="22"/>
    <x v="1"/>
    <n v="66235"/>
    <n v="147.83000000000004"/>
    <n v="9471.9599999999973"/>
    <n v="386.27904761904767"/>
    <n v="21"/>
  </r>
  <r>
    <x v="23"/>
    <x v="1"/>
    <n v="26830"/>
    <n v="48.429999999999993"/>
    <n v="8005.32"/>
    <n v="385.11364761904764"/>
    <n v="41"/>
  </r>
  <r>
    <x v="6"/>
    <x v="4"/>
    <n v="20951.349999999995"/>
    <n v="27.600000000000122"/>
    <n v="12040.929999999998"/>
    <n v="308.55133152173914"/>
    <n v="214"/>
  </r>
  <r>
    <x v="5"/>
    <x v="4"/>
    <n v="14491.96"/>
    <n v="27.549999999999997"/>
    <n v="5115.74"/>
    <n v="339.16223214285714"/>
    <n v="28"/>
  </r>
  <r>
    <x v="19"/>
    <x v="3"/>
    <n v="10305"/>
    <n v="23.799999999999997"/>
    <n v="2175.46"/>
    <n v="343.26321428571424"/>
    <n v="7"/>
  </r>
  <r>
    <x v="1"/>
    <x v="3"/>
    <n v="10030"/>
    <n v="20.63"/>
    <n v="2347.04"/>
    <n v="368.29270833333339"/>
    <n v="12"/>
  </r>
  <r>
    <x v="24"/>
    <x v="2"/>
    <n v="9832.49"/>
    <n v="767.70000000000016"/>
    <n v="4884.1799999999994"/>
    <n v="6.5500000000000007"/>
    <n v="12"/>
  </r>
  <r>
    <x v="12"/>
    <x v="4"/>
    <n v="9140"/>
    <n v="16.86"/>
    <n v="3803.0699999999997"/>
    <n v="302.26972222222219"/>
    <n v="18"/>
  </r>
  <r>
    <x v="25"/>
    <x v="1"/>
    <n v="8405"/>
    <n v="9.7999999999999989"/>
    <n v="3718.4999999999995"/>
    <n v="478.10315789473691"/>
    <n v="17"/>
  </r>
  <r>
    <x v="10"/>
    <x v="3"/>
    <n v="7905.18"/>
    <n v="20.170000000000002"/>
    <n v="1085.3699999999999"/>
    <n v="341.92500000000001"/>
    <n v="4"/>
  </r>
  <r>
    <x v="1"/>
    <x v="4"/>
    <n v="6290"/>
    <n v="11.830000000000002"/>
    <n v="2488.5099999999998"/>
    <n v="319.30211538461538"/>
    <n v="13"/>
  </r>
  <r>
    <x v="14"/>
    <x v="4"/>
    <n v="5775"/>
    <n v="13.85"/>
    <n v="1458.4699999999998"/>
    <n v="319.20666666666665"/>
    <n v="3"/>
  </r>
  <r>
    <x v="13"/>
    <x v="3"/>
    <n v="5675"/>
    <n v="16.5"/>
    <n v="20.95"/>
    <n v="342.67"/>
    <n v="1"/>
  </r>
  <r>
    <x v="4"/>
    <x v="4"/>
    <n v="4290"/>
    <n v="9.379999999999999"/>
    <n v="1448.92"/>
    <n v="300.26333333333332"/>
    <n v="6"/>
  </r>
  <r>
    <x v="2"/>
    <x v="4"/>
    <n v="3050"/>
    <n v="9"/>
    <n v="367.37"/>
    <n v="298.07"/>
    <n v="1"/>
  </r>
  <r>
    <x v="3"/>
    <x v="4"/>
    <n v="2450"/>
    <n v="8.9"/>
    <n v="212.13"/>
    <n v="251.44499999999999"/>
    <n v="1"/>
  </r>
  <r>
    <x v="15"/>
    <x v="3"/>
    <n v="1250"/>
    <n v="3"/>
    <n v="317.48"/>
    <n v="310.83999999999997"/>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F65AE-1396-489A-8F13-F0A61A9F7330}"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4">
  <location ref="A3:AE32" firstHeaderRow="1" firstDataRow="3" firstDataCol="1"/>
  <pivotFields count="7">
    <pivotField axis="axisRow" compact="0" outline="0" showAll="0" defaultSubtotal="0">
      <items count="26">
        <item x="9"/>
        <item x="11"/>
        <item x="17"/>
        <item x="13"/>
        <item x="15"/>
        <item x="3"/>
        <item x="21"/>
        <item x="16"/>
        <item x="1"/>
        <item x="22"/>
        <item x="10"/>
        <item x="4"/>
        <item x="0"/>
        <item x="20"/>
        <item x="19"/>
        <item x="12"/>
        <item x="23"/>
        <item x="2"/>
        <item x="25"/>
        <item x="6"/>
        <item x="5"/>
        <item x="7"/>
        <item x="24"/>
        <item x="8"/>
        <item x="18"/>
        <item x="14"/>
      </items>
    </pivotField>
    <pivotField axis="axisCol" compact="0" outline="0" showAll="0" defaultSubtotal="0">
      <items count="5">
        <item x="4"/>
        <item x="3"/>
        <item x="1"/>
        <item x="0"/>
        <item x="2"/>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2">
    <field x="1"/>
    <field x="-2"/>
  </colFields>
  <colItems count="30">
    <i>
      <x/>
      <x/>
    </i>
    <i r="1" i="1">
      <x v="1"/>
    </i>
    <i r="1" i="2">
      <x v="2"/>
    </i>
    <i r="1" i="3">
      <x v="3"/>
    </i>
    <i r="1" i="4">
      <x v="4"/>
    </i>
    <i>
      <x v="1"/>
      <x/>
    </i>
    <i r="1" i="1">
      <x v="1"/>
    </i>
    <i r="1" i="2">
      <x v="2"/>
    </i>
    <i r="1" i="3">
      <x v="3"/>
    </i>
    <i r="1" i="4">
      <x v="4"/>
    </i>
    <i>
      <x v="2"/>
      <x/>
    </i>
    <i r="1" i="1">
      <x v="1"/>
    </i>
    <i r="1" i="2">
      <x v="2"/>
    </i>
    <i r="1" i="3">
      <x v="3"/>
    </i>
    <i r="1" i="4">
      <x v="4"/>
    </i>
    <i>
      <x v="3"/>
      <x/>
    </i>
    <i r="1" i="1">
      <x v="1"/>
    </i>
    <i r="1" i="2">
      <x v="2"/>
    </i>
    <i r="1" i="3">
      <x v="3"/>
    </i>
    <i r="1" i="4">
      <x v="4"/>
    </i>
    <i>
      <x v="4"/>
      <x/>
    </i>
    <i r="1" i="1">
      <x v="1"/>
    </i>
    <i r="1" i="2">
      <x v="2"/>
    </i>
    <i r="1" i="3">
      <x v="3"/>
    </i>
    <i r="1" i="4">
      <x v="4"/>
    </i>
    <i t="grand">
      <x/>
    </i>
    <i t="grand" i="1">
      <x/>
    </i>
    <i t="grand" i="2">
      <x/>
    </i>
    <i t="grand" i="3">
      <x/>
    </i>
    <i t="grand" i="4">
      <x/>
    </i>
  </colItems>
  <dataFields count="5">
    <dataField name="Sum of weight_sold" fld="3" baseField="0" baseItem="0"/>
    <dataField name="Sum of revenue" fld="2" baseField="0" baseItem="0"/>
    <dataField name="Sum of making_revenue" fld="4" baseField="0" baseItem="0"/>
    <dataField name="Sum of avg_metal_rate" fld="5" baseField="0" baseItem="0"/>
    <dataField name="Sum of transaction_count" fld="6" baseField="0" baseItem="0"/>
  </dataFields>
  <chartFormats count="765">
    <chartFormat chart="12" format="95" series="1">
      <pivotArea type="data" outline="0" fieldPosition="0">
        <references count="2">
          <reference field="4294967294" count="1" selected="0">
            <x v="0"/>
          </reference>
          <reference field="1" count="1" selected="0">
            <x v="0"/>
          </reference>
        </references>
      </pivotArea>
    </chartFormat>
    <chartFormat chart="12" format="96" series="1">
      <pivotArea type="data" outline="0" fieldPosition="0">
        <references count="2">
          <reference field="4294967294" count="1" selected="0">
            <x v="1"/>
          </reference>
          <reference field="1" count="1" selected="0">
            <x v="0"/>
          </reference>
        </references>
      </pivotArea>
    </chartFormat>
    <chartFormat chart="12" format="100" series="1">
      <pivotArea type="data" outline="0" fieldPosition="0">
        <references count="2">
          <reference field="4294967294" count="1" selected="0">
            <x v="0"/>
          </reference>
          <reference field="1" count="1" selected="0">
            <x v="1"/>
          </reference>
        </references>
      </pivotArea>
    </chartFormat>
    <chartFormat chart="12" format="101" series="1">
      <pivotArea type="data" outline="0" fieldPosition="0">
        <references count="2">
          <reference field="4294967294" count="1" selected="0">
            <x v="1"/>
          </reference>
          <reference field="1" count="1" selected="0">
            <x v="1"/>
          </reference>
        </references>
      </pivotArea>
    </chartFormat>
    <chartFormat chart="12" format="105" series="1">
      <pivotArea type="data" outline="0" fieldPosition="0">
        <references count="2">
          <reference field="4294967294" count="1" selected="0">
            <x v="0"/>
          </reference>
          <reference field="1" count="1" selected="0">
            <x v="2"/>
          </reference>
        </references>
      </pivotArea>
    </chartFormat>
    <chartFormat chart="12" format="106" series="1">
      <pivotArea type="data" outline="0" fieldPosition="0">
        <references count="2">
          <reference field="4294967294" count="1" selected="0">
            <x v="1"/>
          </reference>
          <reference field="1" count="1" selected="0">
            <x v="2"/>
          </reference>
        </references>
      </pivotArea>
    </chartFormat>
    <chartFormat chart="12" format="110" series="1">
      <pivotArea type="data" outline="0" fieldPosition="0">
        <references count="2">
          <reference field="4294967294" count="1" selected="0">
            <x v="0"/>
          </reference>
          <reference field="1" count="1" selected="0">
            <x v="3"/>
          </reference>
        </references>
      </pivotArea>
    </chartFormat>
    <chartFormat chart="12" format="111" series="1">
      <pivotArea type="data" outline="0" fieldPosition="0">
        <references count="2">
          <reference field="4294967294" count="1" selected="0">
            <x v="1"/>
          </reference>
          <reference field="1" count="1" selected="0">
            <x v="3"/>
          </reference>
        </references>
      </pivotArea>
    </chartFormat>
    <chartFormat chart="12" format="115" series="1">
      <pivotArea type="data" outline="0" fieldPosition="0">
        <references count="2">
          <reference field="4294967294" count="1" selected="0">
            <x v="0"/>
          </reference>
          <reference field="1" count="1" selected="0">
            <x v="4"/>
          </reference>
        </references>
      </pivotArea>
    </chartFormat>
    <chartFormat chart="12" format="116" series="1">
      <pivotArea type="data" outline="0" fieldPosition="0">
        <references count="2">
          <reference field="4294967294" count="1" selected="0">
            <x v="1"/>
          </reference>
          <reference field="1" count="1" selected="0">
            <x v="4"/>
          </reference>
        </references>
      </pivotArea>
    </chartFormat>
    <chartFormat chart="12" format="120" series="1">
      <pivotArea type="data" outline="0" fieldPosition="0">
        <references count="2">
          <reference field="4294967294" count="1" selected="0">
            <x v="2"/>
          </reference>
          <reference field="1" count="1" selected="0">
            <x v="3"/>
          </reference>
        </references>
      </pivotArea>
    </chartFormat>
    <chartFormat chart="12" format="121" series="1">
      <pivotArea type="data" outline="0" fieldPosition="0">
        <references count="2">
          <reference field="4294967294" count="1" selected="0">
            <x v="2"/>
          </reference>
          <reference field="1" count="1" selected="0">
            <x v="4"/>
          </reference>
        </references>
      </pivotArea>
    </chartFormat>
    <chartFormat chart="12" format="122" series="1">
      <pivotArea type="data" outline="0" fieldPosition="0">
        <references count="2">
          <reference field="4294967294" count="1" selected="0">
            <x v="2"/>
          </reference>
          <reference field="1" count="1" selected="0">
            <x v="0"/>
          </reference>
        </references>
      </pivotArea>
    </chartFormat>
    <chartFormat chart="12" format="123" series="1">
      <pivotArea type="data" outline="0" fieldPosition="0">
        <references count="2">
          <reference field="4294967294" count="1" selected="0">
            <x v="2"/>
          </reference>
          <reference field="1" count="1" selected="0">
            <x v="1"/>
          </reference>
        </references>
      </pivotArea>
    </chartFormat>
    <chartFormat chart="12" format="124" series="1">
      <pivotArea type="data" outline="0" fieldPosition="0">
        <references count="2">
          <reference field="4294967294" count="1" selected="0">
            <x v="2"/>
          </reference>
          <reference field="1" count="1" selected="0">
            <x v="2"/>
          </reference>
        </references>
      </pivotArea>
    </chartFormat>
    <chartFormat chart="12" format="125" series="1">
      <pivotArea type="data" outline="0" fieldPosition="0">
        <references count="2">
          <reference field="4294967294" count="1" selected="0">
            <x v="3"/>
          </reference>
          <reference field="1" count="1" selected="0">
            <x v="3"/>
          </reference>
        </references>
      </pivotArea>
    </chartFormat>
    <chartFormat chart="12" format="126" series="1">
      <pivotArea type="data" outline="0" fieldPosition="0">
        <references count="2">
          <reference field="4294967294" count="1" selected="0">
            <x v="3"/>
          </reference>
          <reference field="1" count="1" selected="0">
            <x v="4"/>
          </reference>
        </references>
      </pivotArea>
    </chartFormat>
    <chartFormat chart="12" format="127" series="1">
      <pivotArea type="data" outline="0" fieldPosition="0">
        <references count="2">
          <reference field="4294967294" count="1" selected="0">
            <x v="3"/>
          </reference>
          <reference field="1" count="1" selected="0">
            <x v="0"/>
          </reference>
        </references>
      </pivotArea>
    </chartFormat>
    <chartFormat chart="12" format="128" series="1">
      <pivotArea type="data" outline="0" fieldPosition="0">
        <references count="2">
          <reference field="4294967294" count="1" selected="0">
            <x v="3"/>
          </reference>
          <reference field="1" count="1" selected="0">
            <x v="1"/>
          </reference>
        </references>
      </pivotArea>
    </chartFormat>
    <chartFormat chart="12" format="129" series="1">
      <pivotArea type="data" outline="0" fieldPosition="0">
        <references count="2">
          <reference field="4294967294" count="1" selected="0">
            <x v="3"/>
          </reference>
          <reference field="1" count="1" selected="0">
            <x v="2"/>
          </reference>
        </references>
      </pivotArea>
    </chartFormat>
    <chartFormat chart="12" format="130" series="1">
      <pivotArea type="data" outline="0" fieldPosition="0">
        <references count="2">
          <reference field="4294967294" count="1" selected="0">
            <x v="4"/>
          </reference>
          <reference field="1" count="1" selected="0">
            <x v="4"/>
          </reference>
        </references>
      </pivotArea>
    </chartFormat>
    <chartFormat chart="12" format="131" series="1">
      <pivotArea type="data" outline="0" fieldPosition="0">
        <references count="2">
          <reference field="4294967294" count="1" selected="0">
            <x v="4"/>
          </reference>
          <reference field="1" count="1" selected="0">
            <x v="0"/>
          </reference>
        </references>
      </pivotArea>
    </chartFormat>
    <chartFormat chart="12" format="132" series="1">
      <pivotArea type="data" outline="0" fieldPosition="0">
        <references count="2">
          <reference field="4294967294" count="1" selected="0">
            <x v="4"/>
          </reference>
          <reference field="1" count="1" selected="0">
            <x v="1"/>
          </reference>
        </references>
      </pivotArea>
    </chartFormat>
    <chartFormat chart="12" format="133" series="1">
      <pivotArea type="data" outline="0" fieldPosition="0">
        <references count="2">
          <reference field="4294967294" count="1" selected="0">
            <x v="4"/>
          </reference>
          <reference field="1" count="1" selected="0">
            <x v="2"/>
          </reference>
        </references>
      </pivotArea>
    </chartFormat>
    <chartFormat chart="12" format="134" series="1">
      <pivotArea type="data" outline="0" fieldPosition="0">
        <references count="2">
          <reference field="4294967294" count="1" selected="0">
            <x v="4"/>
          </reference>
          <reference field="1" count="1" selected="0">
            <x v="3"/>
          </reference>
        </references>
      </pivotArea>
    </chartFormat>
    <chartFormat chart="24" format="165" series="1">
      <pivotArea type="data" outline="0" fieldPosition="0">
        <references count="2">
          <reference field="4294967294" count="1" selected="0">
            <x v="0"/>
          </reference>
          <reference field="1" count="1" selected="0">
            <x v="0"/>
          </reference>
        </references>
      </pivotArea>
    </chartFormat>
    <chartFormat chart="24" format="166" series="1">
      <pivotArea type="data" outline="0" fieldPosition="0">
        <references count="2">
          <reference field="4294967294" count="1" selected="0">
            <x v="1"/>
          </reference>
          <reference field="1" count="1" selected="0">
            <x v="0"/>
          </reference>
        </references>
      </pivotArea>
    </chartFormat>
    <chartFormat chart="24" format="167" series="1">
      <pivotArea type="data" outline="0" fieldPosition="0">
        <references count="2">
          <reference field="4294967294" count="1" selected="0">
            <x v="2"/>
          </reference>
          <reference field="1" count="1" selected="0">
            <x v="0"/>
          </reference>
        </references>
      </pivotArea>
    </chartFormat>
    <chartFormat chart="24" format="168" series="1">
      <pivotArea type="data" outline="0" fieldPosition="0">
        <references count="2">
          <reference field="4294967294" count="1" selected="0">
            <x v="3"/>
          </reference>
          <reference field="1" count="1" selected="0">
            <x v="0"/>
          </reference>
        </references>
      </pivotArea>
    </chartFormat>
    <chartFormat chart="24" format="169" series="1">
      <pivotArea type="data" outline="0" fieldPosition="0">
        <references count="2">
          <reference field="4294967294" count="1" selected="0">
            <x v="4"/>
          </reference>
          <reference field="1" count="1" selected="0">
            <x v="0"/>
          </reference>
        </references>
      </pivotArea>
    </chartFormat>
    <chartFormat chart="24" format="170" series="1">
      <pivotArea type="data" outline="0" fieldPosition="0">
        <references count="2">
          <reference field="4294967294" count="1" selected="0">
            <x v="0"/>
          </reference>
          <reference field="1" count="1" selected="0">
            <x v="1"/>
          </reference>
        </references>
      </pivotArea>
    </chartFormat>
    <chartFormat chart="24" format="171" series="1">
      <pivotArea type="data" outline="0" fieldPosition="0">
        <references count="2">
          <reference field="4294967294" count="1" selected="0">
            <x v="1"/>
          </reference>
          <reference field="1" count="1" selected="0">
            <x v="1"/>
          </reference>
        </references>
      </pivotArea>
    </chartFormat>
    <chartFormat chart="24" format="172" series="1">
      <pivotArea type="data" outline="0" fieldPosition="0">
        <references count="2">
          <reference field="4294967294" count="1" selected="0">
            <x v="2"/>
          </reference>
          <reference field="1" count="1" selected="0">
            <x v="1"/>
          </reference>
        </references>
      </pivotArea>
    </chartFormat>
    <chartFormat chart="24" format="173" series="1">
      <pivotArea type="data" outline="0" fieldPosition="0">
        <references count="2">
          <reference field="4294967294" count="1" selected="0">
            <x v="3"/>
          </reference>
          <reference field="1" count="1" selected="0">
            <x v="1"/>
          </reference>
        </references>
      </pivotArea>
    </chartFormat>
    <chartFormat chart="24" format="174" series="1">
      <pivotArea type="data" outline="0" fieldPosition="0">
        <references count="2">
          <reference field="4294967294" count="1" selected="0">
            <x v="4"/>
          </reference>
          <reference field="1" count="1" selected="0">
            <x v="1"/>
          </reference>
        </references>
      </pivotArea>
    </chartFormat>
    <chartFormat chart="24" format="175" series="1">
      <pivotArea type="data" outline="0" fieldPosition="0">
        <references count="2">
          <reference field="4294967294" count="1" selected="0">
            <x v="0"/>
          </reference>
          <reference field="1" count="1" selected="0">
            <x v="2"/>
          </reference>
        </references>
      </pivotArea>
    </chartFormat>
    <chartFormat chart="24" format="176" series="1">
      <pivotArea type="data" outline="0" fieldPosition="0">
        <references count="2">
          <reference field="4294967294" count="1" selected="0">
            <x v="1"/>
          </reference>
          <reference field="1" count="1" selected="0">
            <x v="2"/>
          </reference>
        </references>
      </pivotArea>
    </chartFormat>
    <chartFormat chart="24" format="177" series="1">
      <pivotArea type="data" outline="0" fieldPosition="0">
        <references count="2">
          <reference field="4294967294" count="1" selected="0">
            <x v="2"/>
          </reference>
          <reference field="1" count="1" selected="0">
            <x v="2"/>
          </reference>
        </references>
      </pivotArea>
    </chartFormat>
    <chartFormat chart="24" format="178" series="1">
      <pivotArea type="data" outline="0" fieldPosition="0">
        <references count="2">
          <reference field="4294967294" count="1" selected="0">
            <x v="3"/>
          </reference>
          <reference field="1" count="1" selected="0">
            <x v="2"/>
          </reference>
        </references>
      </pivotArea>
    </chartFormat>
    <chartFormat chart="24" format="179" series="1">
      <pivotArea type="data" outline="0" fieldPosition="0">
        <references count="2">
          <reference field="4294967294" count="1" selected="0">
            <x v="4"/>
          </reference>
          <reference field="1" count="1" selected="0">
            <x v="2"/>
          </reference>
        </references>
      </pivotArea>
    </chartFormat>
    <chartFormat chart="24" format="180" series="1">
      <pivotArea type="data" outline="0" fieldPosition="0">
        <references count="2">
          <reference field="4294967294" count="1" selected="0">
            <x v="0"/>
          </reference>
          <reference field="1" count="1" selected="0">
            <x v="3"/>
          </reference>
        </references>
      </pivotArea>
    </chartFormat>
    <chartFormat chart="24" format="181" series="1">
      <pivotArea type="data" outline="0" fieldPosition="0">
        <references count="2">
          <reference field="4294967294" count="1" selected="0">
            <x v="1"/>
          </reference>
          <reference field="1" count="1" selected="0">
            <x v="3"/>
          </reference>
        </references>
      </pivotArea>
    </chartFormat>
    <chartFormat chart="24" format="182" series="1">
      <pivotArea type="data" outline="0" fieldPosition="0">
        <references count="2">
          <reference field="4294967294" count="1" selected="0">
            <x v="2"/>
          </reference>
          <reference field="1" count="1" selected="0">
            <x v="3"/>
          </reference>
        </references>
      </pivotArea>
    </chartFormat>
    <chartFormat chart="24" format="183" series="1">
      <pivotArea type="data" outline="0" fieldPosition="0">
        <references count="2">
          <reference field="4294967294" count="1" selected="0">
            <x v="3"/>
          </reference>
          <reference field="1" count="1" selected="0">
            <x v="3"/>
          </reference>
        </references>
      </pivotArea>
    </chartFormat>
    <chartFormat chart="24" format="184" series="1">
      <pivotArea type="data" outline="0" fieldPosition="0">
        <references count="2">
          <reference field="4294967294" count="1" selected="0">
            <x v="4"/>
          </reference>
          <reference field="1" count="1" selected="0">
            <x v="3"/>
          </reference>
        </references>
      </pivotArea>
    </chartFormat>
    <chartFormat chart="24" format="185" series="1">
      <pivotArea type="data" outline="0" fieldPosition="0">
        <references count="2">
          <reference field="4294967294" count="1" selected="0">
            <x v="0"/>
          </reference>
          <reference field="1" count="1" selected="0">
            <x v="4"/>
          </reference>
        </references>
      </pivotArea>
    </chartFormat>
    <chartFormat chart="24" format="186" series="1">
      <pivotArea type="data" outline="0" fieldPosition="0">
        <references count="2">
          <reference field="4294967294" count="1" selected="0">
            <x v="1"/>
          </reference>
          <reference field="1" count="1" selected="0">
            <x v="4"/>
          </reference>
        </references>
      </pivotArea>
    </chartFormat>
    <chartFormat chart="24" format="187" series="1">
      <pivotArea type="data" outline="0" fieldPosition="0">
        <references count="2">
          <reference field="4294967294" count="1" selected="0">
            <x v="2"/>
          </reference>
          <reference field="1" count="1" selected="0">
            <x v="4"/>
          </reference>
        </references>
      </pivotArea>
    </chartFormat>
    <chartFormat chart="24" format="188" series="1">
      <pivotArea type="data" outline="0" fieldPosition="0">
        <references count="2">
          <reference field="4294967294" count="1" selected="0">
            <x v="3"/>
          </reference>
          <reference field="1" count="1" selected="0">
            <x v="4"/>
          </reference>
        </references>
      </pivotArea>
    </chartFormat>
    <chartFormat chart="24" format="189" series="1">
      <pivotArea type="data" outline="0" fieldPosition="0">
        <references count="2">
          <reference field="4294967294" count="1" selected="0">
            <x v="4"/>
          </reference>
          <reference field="1" count="1" selected="0">
            <x v="4"/>
          </reference>
        </references>
      </pivotArea>
    </chartFormat>
    <chartFormat chart="25" format="2115" series="1">
      <pivotArea type="data" outline="0" fieldPosition="0">
        <references count="2">
          <reference field="4294967294" count="1" selected="0">
            <x v="0"/>
          </reference>
          <reference field="1" count="1" selected="0">
            <x v="0"/>
          </reference>
        </references>
      </pivotArea>
    </chartFormat>
    <chartFormat chart="25" format="2116">
      <pivotArea type="data" outline="0" fieldPosition="0">
        <references count="3">
          <reference field="4294967294" count="1" selected="0">
            <x v="0"/>
          </reference>
          <reference field="0" count="1" selected="0">
            <x v="0"/>
          </reference>
          <reference field="1" count="1" selected="0">
            <x v="0"/>
          </reference>
        </references>
      </pivotArea>
    </chartFormat>
    <chartFormat chart="25" format="2117">
      <pivotArea type="data" outline="0" fieldPosition="0">
        <references count="3">
          <reference field="4294967294" count="1" selected="0">
            <x v="0"/>
          </reference>
          <reference field="0" count="1" selected="0">
            <x v="1"/>
          </reference>
          <reference field="1" count="1" selected="0">
            <x v="0"/>
          </reference>
        </references>
      </pivotArea>
    </chartFormat>
    <chartFormat chart="25" format="2118">
      <pivotArea type="data" outline="0" fieldPosition="0">
        <references count="3">
          <reference field="4294967294" count="1" selected="0">
            <x v="0"/>
          </reference>
          <reference field="0" count="1" selected="0">
            <x v="2"/>
          </reference>
          <reference field="1" count="1" selected="0">
            <x v="0"/>
          </reference>
        </references>
      </pivotArea>
    </chartFormat>
    <chartFormat chart="25" format="2119">
      <pivotArea type="data" outline="0" fieldPosition="0">
        <references count="3">
          <reference field="4294967294" count="1" selected="0">
            <x v="0"/>
          </reference>
          <reference field="0" count="1" selected="0">
            <x v="3"/>
          </reference>
          <reference field="1" count="1" selected="0">
            <x v="0"/>
          </reference>
        </references>
      </pivotArea>
    </chartFormat>
    <chartFormat chart="25" format="2120">
      <pivotArea type="data" outline="0" fieldPosition="0">
        <references count="3">
          <reference field="4294967294" count="1" selected="0">
            <x v="0"/>
          </reference>
          <reference field="0" count="1" selected="0">
            <x v="4"/>
          </reference>
          <reference field="1" count="1" selected="0">
            <x v="0"/>
          </reference>
        </references>
      </pivotArea>
    </chartFormat>
    <chartFormat chart="25" format="2121">
      <pivotArea type="data" outline="0" fieldPosition="0">
        <references count="3">
          <reference field="4294967294" count="1" selected="0">
            <x v="0"/>
          </reference>
          <reference field="0" count="1" selected="0">
            <x v="5"/>
          </reference>
          <reference field="1" count="1" selected="0">
            <x v="0"/>
          </reference>
        </references>
      </pivotArea>
    </chartFormat>
    <chartFormat chart="25" format="2122">
      <pivotArea type="data" outline="0" fieldPosition="0">
        <references count="3">
          <reference field="4294967294" count="1" selected="0">
            <x v="0"/>
          </reference>
          <reference field="0" count="1" selected="0">
            <x v="6"/>
          </reference>
          <reference field="1" count="1" selected="0">
            <x v="0"/>
          </reference>
        </references>
      </pivotArea>
    </chartFormat>
    <chartFormat chart="25" format="2123">
      <pivotArea type="data" outline="0" fieldPosition="0">
        <references count="3">
          <reference field="4294967294" count="1" selected="0">
            <x v="0"/>
          </reference>
          <reference field="0" count="1" selected="0">
            <x v="7"/>
          </reference>
          <reference field="1" count="1" selected="0">
            <x v="0"/>
          </reference>
        </references>
      </pivotArea>
    </chartFormat>
    <chartFormat chart="25" format="2124">
      <pivotArea type="data" outline="0" fieldPosition="0">
        <references count="3">
          <reference field="4294967294" count="1" selected="0">
            <x v="0"/>
          </reference>
          <reference field="0" count="1" selected="0">
            <x v="8"/>
          </reference>
          <reference field="1" count="1" selected="0">
            <x v="0"/>
          </reference>
        </references>
      </pivotArea>
    </chartFormat>
    <chartFormat chart="25" format="2125">
      <pivotArea type="data" outline="0" fieldPosition="0">
        <references count="3">
          <reference field="4294967294" count="1" selected="0">
            <x v="0"/>
          </reference>
          <reference field="0" count="1" selected="0">
            <x v="9"/>
          </reference>
          <reference field="1" count="1" selected="0">
            <x v="0"/>
          </reference>
        </references>
      </pivotArea>
    </chartFormat>
    <chartFormat chart="25" format="2126">
      <pivotArea type="data" outline="0" fieldPosition="0">
        <references count="3">
          <reference field="4294967294" count="1" selected="0">
            <x v="0"/>
          </reference>
          <reference field="0" count="1" selected="0">
            <x v="10"/>
          </reference>
          <reference field="1" count="1" selected="0">
            <x v="0"/>
          </reference>
        </references>
      </pivotArea>
    </chartFormat>
    <chartFormat chart="25" format="2127">
      <pivotArea type="data" outline="0" fieldPosition="0">
        <references count="3">
          <reference field="4294967294" count="1" selected="0">
            <x v="0"/>
          </reference>
          <reference field="0" count="1" selected="0">
            <x v="11"/>
          </reference>
          <reference field="1" count="1" selected="0">
            <x v="0"/>
          </reference>
        </references>
      </pivotArea>
    </chartFormat>
    <chartFormat chart="25" format="2128">
      <pivotArea type="data" outline="0" fieldPosition="0">
        <references count="3">
          <reference field="4294967294" count="1" selected="0">
            <x v="0"/>
          </reference>
          <reference field="0" count="1" selected="0">
            <x v="12"/>
          </reference>
          <reference field="1" count="1" selected="0">
            <x v="0"/>
          </reference>
        </references>
      </pivotArea>
    </chartFormat>
    <chartFormat chart="25" format="2129">
      <pivotArea type="data" outline="0" fieldPosition="0">
        <references count="3">
          <reference field="4294967294" count="1" selected="0">
            <x v="0"/>
          </reference>
          <reference field="0" count="1" selected="0">
            <x v="13"/>
          </reference>
          <reference field="1" count="1" selected="0">
            <x v="0"/>
          </reference>
        </references>
      </pivotArea>
    </chartFormat>
    <chartFormat chart="25" format="2130">
      <pivotArea type="data" outline="0" fieldPosition="0">
        <references count="3">
          <reference field="4294967294" count="1" selected="0">
            <x v="0"/>
          </reference>
          <reference field="0" count="1" selected="0">
            <x v="14"/>
          </reference>
          <reference field="1" count="1" selected="0">
            <x v="0"/>
          </reference>
        </references>
      </pivotArea>
    </chartFormat>
    <chartFormat chart="25" format="2131">
      <pivotArea type="data" outline="0" fieldPosition="0">
        <references count="3">
          <reference field="4294967294" count="1" selected="0">
            <x v="0"/>
          </reference>
          <reference field="0" count="1" selected="0">
            <x v="15"/>
          </reference>
          <reference field="1" count="1" selected="0">
            <x v="0"/>
          </reference>
        </references>
      </pivotArea>
    </chartFormat>
    <chartFormat chart="25" format="2132">
      <pivotArea type="data" outline="0" fieldPosition="0">
        <references count="3">
          <reference field="4294967294" count="1" selected="0">
            <x v="0"/>
          </reference>
          <reference field="0" count="1" selected="0">
            <x v="16"/>
          </reference>
          <reference field="1" count="1" selected="0">
            <x v="0"/>
          </reference>
        </references>
      </pivotArea>
    </chartFormat>
    <chartFormat chart="25" format="2133">
      <pivotArea type="data" outline="0" fieldPosition="0">
        <references count="3">
          <reference field="4294967294" count="1" selected="0">
            <x v="0"/>
          </reference>
          <reference field="0" count="1" selected="0">
            <x v="17"/>
          </reference>
          <reference field="1" count="1" selected="0">
            <x v="0"/>
          </reference>
        </references>
      </pivotArea>
    </chartFormat>
    <chartFormat chart="25" format="2134">
      <pivotArea type="data" outline="0" fieldPosition="0">
        <references count="3">
          <reference field="4294967294" count="1" selected="0">
            <x v="0"/>
          </reference>
          <reference field="0" count="1" selected="0">
            <x v="18"/>
          </reference>
          <reference field="1" count="1" selected="0">
            <x v="0"/>
          </reference>
        </references>
      </pivotArea>
    </chartFormat>
    <chartFormat chart="25" format="2135">
      <pivotArea type="data" outline="0" fieldPosition="0">
        <references count="3">
          <reference field="4294967294" count="1" selected="0">
            <x v="0"/>
          </reference>
          <reference field="0" count="1" selected="0">
            <x v="19"/>
          </reference>
          <reference field="1" count="1" selected="0">
            <x v="0"/>
          </reference>
        </references>
      </pivotArea>
    </chartFormat>
    <chartFormat chart="25" format="2136">
      <pivotArea type="data" outline="0" fieldPosition="0">
        <references count="3">
          <reference field="4294967294" count="1" selected="0">
            <x v="0"/>
          </reference>
          <reference field="0" count="1" selected="0">
            <x v="20"/>
          </reference>
          <reference field="1" count="1" selected="0">
            <x v="0"/>
          </reference>
        </references>
      </pivotArea>
    </chartFormat>
    <chartFormat chart="25" format="2137">
      <pivotArea type="data" outline="0" fieldPosition="0">
        <references count="3">
          <reference field="4294967294" count="1" selected="0">
            <x v="0"/>
          </reference>
          <reference field="0" count="1" selected="0">
            <x v="21"/>
          </reference>
          <reference field="1" count="1" selected="0">
            <x v="0"/>
          </reference>
        </references>
      </pivotArea>
    </chartFormat>
    <chartFormat chart="25" format="2138">
      <pivotArea type="data" outline="0" fieldPosition="0">
        <references count="3">
          <reference field="4294967294" count="1" selected="0">
            <x v="0"/>
          </reference>
          <reference field="0" count="1" selected="0">
            <x v="22"/>
          </reference>
          <reference field="1" count="1" selected="0">
            <x v="0"/>
          </reference>
        </references>
      </pivotArea>
    </chartFormat>
    <chartFormat chart="25" format="2139">
      <pivotArea type="data" outline="0" fieldPosition="0">
        <references count="3">
          <reference field="4294967294" count="1" selected="0">
            <x v="0"/>
          </reference>
          <reference field="0" count="1" selected="0">
            <x v="23"/>
          </reference>
          <reference field="1" count="1" selected="0">
            <x v="0"/>
          </reference>
        </references>
      </pivotArea>
    </chartFormat>
    <chartFormat chart="25" format="2140">
      <pivotArea type="data" outline="0" fieldPosition="0">
        <references count="3">
          <reference field="4294967294" count="1" selected="0">
            <x v="0"/>
          </reference>
          <reference field="0" count="1" selected="0">
            <x v="24"/>
          </reference>
          <reference field="1" count="1" selected="0">
            <x v="0"/>
          </reference>
        </references>
      </pivotArea>
    </chartFormat>
    <chartFormat chart="25" format="2141">
      <pivotArea type="data" outline="0" fieldPosition="0">
        <references count="3">
          <reference field="4294967294" count="1" selected="0">
            <x v="0"/>
          </reference>
          <reference field="0" count="1" selected="0">
            <x v="25"/>
          </reference>
          <reference field="1" count="1" selected="0">
            <x v="0"/>
          </reference>
        </references>
      </pivotArea>
    </chartFormat>
    <chartFormat chart="25" format="2142" series="1">
      <pivotArea type="data" outline="0" fieldPosition="0">
        <references count="2">
          <reference field="4294967294" count="1" selected="0">
            <x v="1"/>
          </reference>
          <reference field="1" count="1" selected="0">
            <x v="0"/>
          </reference>
        </references>
      </pivotArea>
    </chartFormat>
    <chartFormat chart="25" format="2143">
      <pivotArea type="data" outline="0" fieldPosition="0">
        <references count="3">
          <reference field="4294967294" count="1" selected="0">
            <x v="1"/>
          </reference>
          <reference field="0" count="1" selected="0">
            <x v="0"/>
          </reference>
          <reference field="1" count="1" selected="0">
            <x v="0"/>
          </reference>
        </references>
      </pivotArea>
    </chartFormat>
    <chartFormat chart="25" format="2144">
      <pivotArea type="data" outline="0" fieldPosition="0">
        <references count="3">
          <reference field="4294967294" count="1" selected="0">
            <x v="1"/>
          </reference>
          <reference field="0" count="1" selected="0">
            <x v="1"/>
          </reference>
          <reference field="1" count="1" selected="0">
            <x v="0"/>
          </reference>
        </references>
      </pivotArea>
    </chartFormat>
    <chartFormat chart="25" format="2145">
      <pivotArea type="data" outline="0" fieldPosition="0">
        <references count="3">
          <reference field="4294967294" count="1" selected="0">
            <x v="1"/>
          </reference>
          <reference field="0" count="1" selected="0">
            <x v="2"/>
          </reference>
          <reference field="1" count="1" selected="0">
            <x v="0"/>
          </reference>
        </references>
      </pivotArea>
    </chartFormat>
    <chartFormat chart="25" format="2146">
      <pivotArea type="data" outline="0" fieldPosition="0">
        <references count="3">
          <reference field="4294967294" count="1" selected="0">
            <x v="1"/>
          </reference>
          <reference field="0" count="1" selected="0">
            <x v="3"/>
          </reference>
          <reference field="1" count="1" selected="0">
            <x v="0"/>
          </reference>
        </references>
      </pivotArea>
    </chartFormat>
    <chartFormat chart="25" format="2147">
      <pivotArea type="data" outline="0" fieldPosition="0">
        <references count="3">
          <reference field="4294967294" count="1" selected="0">
            <x v="1"/>
          </reference>
          <reference field="0" count="1" selected="0">
            <x v="4"/>
          </reference>
          <reference field="1" count="1" selected="0">
            <x v="0"/>
          </reference>
        </references>
      </pivotArea>
    </chartFormat>
    <chartFormat chart="25" format="2148">
      <pivotArea type="data" outline="0" fieldPosition="0">
        <references count="3">
          <reference field="4294967294" count="1" selected="0">
            <x v="1"/>
          </reference>
          <reference field="0" count="1" selected="0">
            <x v="5"/>
          </reference>
          <reference field="1" count="1" selected="0">
            <x v="0"/>
          </reference>
        </references>
      </pivotArea>
    </chartFormat>
    <chartFormat chart="25" format="2149">
      <pivotArea type="data" outline="0" fieldPosition="0">
        <references count="3">
          <reference field="4294967294" count="1" selected="0">
            <x v="1"/>
          </reference>
          <reference field="0" count="1" selected="0">
            <x v="6"/>
          </reference>
          <reference field="1" count="1" selected="0">
            <x v="0"/>
          </reference>
        </references>
      </pivotArea>
    </chartFormat>
    <chartFormat chart="25" format="2150">
      <pivotArea type="data" outline="0" fieldPosition="0">
        <references count="3">
          <reference field="4294967294" count="1" selected="0">
            <x v="1"/>
          </reference>
          <reference field="0" count="1" selected="0">
            <x v="7"/>
          </reference>
          <reference field="1" count="1" selected="0">
            <x v="0"/>
          </reference>
        </references>
      </pivotArea>
    </chartFormat>
    <chartFormat chart="25" format="2151">
      <pivotArea type="data" outline="0" fieldPosition="0">
        <references count="3">
          <reference field="4294967294" count="1" selected="0">
            <x v="1"/>
          </reference>
          <reference field="0" count="1" selected="0">
            <x v="8"/>
          </reference>
          <reference field="1" count="1" selected="0">
            <x v="0"/>
          </reference>
        </references>
      </pivotArea>
    </chartFormat>
    <chartFormat chart="25" format="2152">
      <pivotArea type="data" outline="0" fieldPosition="0">
        <references count="3">
          <reference field="4294967294" count="1" selected="0">
            <x v="1"/>
          </reference>
          <reference field="0" count="1" selected="0">
            <x v="9"/>
          </reference>
          <reference field="1" count="1" selected="0">
            <x v="0"/>
          </reference>
        </references>
      </pivotArea>
    </chartFormat>
    <chartFormat chart="25" format="2153">
      <pivotArea type="data" outline="0" fieldPosition="0">
        <references count="3">
          <reference field="4294967294" count="1" selected="0">
            <x v="1"/>
          </reference>
          <reference field="0" count="1" selected="0">
            <x v="10"/>
          </reference>
          <reference field="1" count="1" selected="0">
            <x v="0"/>
          </reference>
        </references>
      </pivotArea>
    </chartFormat>
    <chartFormat chart="25" format="2154">
      <pivotArea type="data" outline="0" fieldPosition="0">
        <references count="3">
          <reference field="4294967294" count="1" selected="0">
            <x v="1"/>
          </reference>
          <reference field="0" count="1" selected="0">
            <x v="11"/>
          </reference>
          <reference field="1" count="1" selected="0">
            <x v="0"/>
          </reference>
        </references>
      </pivotArea>
    </chartFormat>
    <chartFormat chart="25" format="2155">
      <pivotArea type="data" outline="0" fieldPosition="0">
        <references count="3">
          <reference field="4294967294" count="1" selected="0">
            <x v="1"/>
          </reference>
          <reference field="0" count="1" selected="0">
            <x v="12"/>
          </reference>
          <reference field="1" count="1" selected="0">
            <x v="0"/>
          </reference>
        </references>
      </pivotArea>
    </chartFormat>
    <chartFormat chart="25" format="2156">
      <pivotArea type="data" outline="0" fieldPosition="0">
        <references count="3">
          <reference field="4294967294" count="1" selected="0">
            <x v="1"/>
          </reference>
          <reference field="0" count="1" selected="0">
            <x v="13"/>
          </reference>
          <reference field="1" count="1" selected="0">
            <x v="0"/>
          </reference>
        </references>
      </pivotArea>
    </chartFormat>
    <chartFormat chart="25" format="2157">
      <pivotArea type="data" outline="0" fieldPosition="0">
        <references count="3">
          <reference field="4294967294" count="1" selected="0">
            <x v="1"/>
          </reference>
          <reference field="0" count="1" selected="0">
            <x v="14"/>
          </reference>
          <reference field="1" count="1" selected="0">
            <x v="0"/>
          </reference>
        </references>
      </pivotArea>
    </chartFormat>
    <chartFormat chart="25" format="2158">
      <pivotArea type="data" outline="0" fieldPosition="0">
        <references count="3">
          <reference field="4294967294" count="1" selected="0">
            <x v="1"/>
          </reference>
          <reference field="0" count="1" selected="0">
            <x v="15"/>
          </reference>
          <reference field="1" count="1" selected="0">
            <x v="0"/>
          </reference>
        </references>
      </pivotArea>
    </chartFormat>
    <chartFormat chart="25" format="2159">
      <pivotArea type="data" outline="0" fieldPosition="0">
        <references count="3">
          <reference field="4294967294" count="1" selected="0">
            <x v="1"/>
          </reference>
          <reference field="0" count="1" selected="0">
            <x v="16"/>
          </reference>
          <reference field="1" count="1" selected="0">
            <x v="0"/>
          </reference>
        </references>
      </pivotArea>
    </chartFormat>
    <chartFormat chart="25" format="2160">
      <pivotArea type="data" outline="0" fieldPosition="0">
        <references count="3">
          <reference field="4294967294" count="1" selected="0">
            <x v="1"/>
          </reference>
          <reference field="0" count="1" selected="0">
            <x v="17"/>
          </reference>
          <reference field="1" count="1" selected="0">
            <x v="0"/>
          </reference>
        </references>
      </pivotArea>
    </chartFormat>
    <chartFormat chart="25" format="2161">
      <pivotArea type="data" outline="0" fieldPosition="0">
        <references count="3">
          <reference field="4294967294" count="1" selected="0">
            <x v="1"/>
          </reference>
          <reference field="0" count="1" selected="0">
            <x v="18"/>
          </reference>
          <reference field="1" count="1" selected="0">
            <x v="0"/>
          </reference>
        </references>
      </pivotArea>
    </chartFormat>
    <chartFormat chart="25" format="2162">
      <pivotArea type="data" outline="0" fieldPosition="0">
        <references count="3">
          <reference field="4294967294" count="1" selected="0">
            <x v="1"/>
          </reference>
          <reference field="0" count="1" selected="0">
            <x v="19"/>
          </reference>
          <reference field="1" count="1" selected="0">
            <x v="0"/>
          </reference>
        </references>
      </pivotArea>
    </chartFormat>
    <chartFormat chart="25" format="2163">
      <pivotArea type="data" outline="0" fieldPosition="0">
        <references count="3">
          <reference field="4294967294" count="1" selected="0">
            <x v="1"/>
          </reference>
          <reference field="0" count="1" selected="0">
            <x v="20"/>
          </reference>
          <reference field="1" count="1" selected="0">
            <x v="0"/>
          </reference>
        </references>
      </pivotArea>
    </chartFormat>
    <chartFormat chart="25" format="2164">
      <pivotArea type="data" outline="0" fieldPosition="0">
        <references count="3">
          <reference field="4294967294" count="1" selected="0">
            <x v="1"/>
          </reference>
          <reference field="0" count="1" selected="0">
            <x v="21"/>
          </reference>
          <reference field="1" count="1" selected="0">
            <x v="0"/>
          </reference>
        </references>
      </pivotArea>
    </chartFormat>
    <chartFormat chart="25" format="2165">
      <pivotArea type="data" outline="0" fieldPosition="0">
        <references count="3">
          <reference field="4294967294" count="1" selected="0">
            <x v="1"/>
          </reference>
          <reference field="0" count="1" selected="0">
            <x v="22"/>
          </reference>
          <reference field="1" count="1" selected="0">
            <x v="0"/>
          </reference>
        </references>
      </pivotArea>
    </chartFormat>
    <chartFormat chart="25" format="2166">
      <pivotArea type="data" outline="0" fieldPosition="0">
        <references count="3">
          <reference field="4294967294" count="1" selected="0">
            <x v="1"/>
          </reference>
          <reference field="0" count="1" selected="0">
            <x v="23"/>
          </reference>
          <reference field="1" count="1" selected="0">
            <x v="0"/>
          </reference>
        </references>
      </pivotArea>
    </chartFormat>
    <chartFormat chart="25" format="2167">
      <pivotArea type="data" outline="0" fieldPosition="0">
        <references count="3">
          <reference field="4294967294" count="1" selected="0">
            <x v="1"/>
          </reference>
          <reference field="0" count="1" selected="0">
            <x v="24"/>
          </reference>
          <reference field="1" count="1" selected="0">
            <x v="0"/>
          </reference>
        </references>
      </pivotArea>
    </chartFormat>
    <chartFormat chart="25" format="2168">
      <pivotArea type="data" outline="0" fieldPosition="0">
        <references count="3">
          <reference field="4294967294" count="1" selected="0">
            <x v="1"/>
          </reference>
          <reference field="0" count="1" selected="0">
            <x v="25"/>
          </reference>
          <reference field="1" count="1" selected="0">
            <x v="0"/>
          </reference>
        </references>
      </pivotArea>
    </chartFormat>
    <chartFormat chart="25" format="2169" series="1">
      <pivotArea type="data" outline="0" fieldPosition="0">
        <references count="2">
          <reference field="4294967294" count="1" selected="0">
            <x v="2"/>
          </reference>
          <reference field="1" count="1" selected="0">
            <x v="0"/>
          </reference>
        </references>
      </pivotArea>
    </chartFormat>
    <chartFormat chart="25" format="2170">
      <pivotArea type="data" outline="0" fieldPosition="0">
        <references count="3">
          <reference field="4294967294" count="1" selected="0">
            <x v="2"/>
          </reference>
          <reference field="0" count="1" selected="0">
            <x v="0"/>
          </reference>
          <reference field="1" count="1" selected="0">
            <x v="0"/>
          </reference>
        </references>
      </pivotArea>
    </chartFormat>
    <chartFormat chart="25" format="2171">
      <pivotArea type="data" outline="0" fieldPosition="0">
        <references count="3">
          <reference field="4294967294" count="1" selected="0">
            <x v="2"/>
          </reference>
          <reference field="0" count="1" selected="0">
            <x v="1"/>
          </reference>
          <reference field="1" count="1" selected="0">
            <x v="0"/>
          </reference>
        </references>
      </pivotArea>
    </chartFormat>
    <chartFormat chart="25" format="2172">
      <pivotArea type="data" outline="0" fieldPosition="0">
        <references count="3">
          <reference field="4294967294" count="1" selected="0">
            <x v="2"/>
          </reference>
          <reference field="0" count="1" selected="0">
            <x v="2"/>
          </reference>
          <reference field="1" count="1" selected="0">
            <x v="0"/>
          </reference>
        </references>
      </pivotArea>
    </chartFormat>
    <chartFormat chart="25" format="2173">
      <pivotArea type="data" outline="0" fieldPosition="0">
        <references count="3">
          <reference field="4294967294" count="1" selected="0">
            <x v="2"/>
          </reference>
          <reference field="0" count="1" selected="0">
            <x v="3"/>
          </reference>
          <reference field="1" count="1" selected="0">
            <x v="0"/>
          </reference>
        </references>
      </pivotArea>
    </chartFormat>
    <chartFormat chart="25" format="2174">
      <pivotArea type="data" outline="0" fieldPosition="0">
        <references count="3">
          <reference field="4294967294" count="1" selected="0">
            <x v="2"/>
          </reference>
          <reference field="0" count="1" selected="0">
            <x v="4"/>
          </reference>
          <reference field="1" count="1" selected="0">
            <x v="0"/>
          </reference>
        </references>
      </pivotArea>
    </chartFormat>
    <chartFormat chart="25" format="2175">
      <pivotArea type="data" outline="0" fieldPosition="0">
        <references count="3">
          <reference field="4294967294" count="1" selected="0">
            <x v="2"/>
          </reference>
          <reference field="0" count="1" selected="0">
            <x v="5"/>
          </reference>
          <reference field="1" count="1" selected="0">
            <x v="0"/>
          </reference>
        </references>
      </pivotArea>
    </chartFormat>
    <chartFormat chart="25" format="2176">
      <pivotArea type="data" outline="0" fieldPosition="0">
        <references count="3">
          <reference field="4294967294" count="1" selected="0">
            <x v="2"/>
          </reference>
          <reference field="0" count="1" selected="0">
            <x v="6"/>
          </reference>
          <reference field="1" count="1" selected="0">
            <x v="0"/>
          </reference>
        </references>
      </pivotArea>
    </chartFormat>
    <chartFormat chart="25" format="2177">
      <pivotArea type="data" outline="0" fieldPosition="0">
        <references count="3">
          <reference field="4294967294" count="1" selected="0">
            <x v="2"/>
          </reference>
          <reference field="0" count="1" selected="0">
            <x v="7"/>
          </reference>
          <reference field="1" count="1" selected="0">
            <x v="0"/>
          </reference>
        </references>
      </pivotArea>
    </chartFormat>
    <chartFormat chart="25" format="2178">
      <pivotArea type="data" outline="0" fieldPosition="0">
        <references count="3">
          <reference field="4294967294" count="1" selected="0">
            <x v="2"/>
          </reference>
          <reference field="0" count="1" selected="0">
            <x v="8"/>
          </reference>
          <reference field="1" count="1" selected="0">
            <x v="0"/>
          </reference>
        </references>
      </pivotArea>
    </chartFormat>
    <chartFormat chart="25" format="2179">
      <pivotArea type="data" outline="0" fieldPosition="0">
        <references count="3">
          <reference field="4294967294" count="1" selected="0">
            <x v="2"/>
          </reference>
          <reference field="0" count="1" selected="0">
            <x v="9"/>
          </reference>
          <reference field="1" count="1" selected="0">
            <x v="0"/>
          </reference>
        </references>
      </pivotArea>
    </chartFormat>
    <chartFormat chart="25" format="2180">
      <pivotArea type="data" outline="0" fieldPosition="0">
        <references count="3">
          <reference field="4294967294" count="1" selected="0">
            <x v="2"/>
          </reference>
          <reference field="0" count="1" selected="0">
            <x v="10"/>
          </reference>
          <reference field="1" count="1" selected="0">
            <x v="0"/>
          </reference>
        </references>
      </pivotArea>
    </chartFormat>
    <chartFormat chart="25" format="2181">
      <pivotArea type="data" outline="0" fieldPosition="0">
        <references count="3">
          <reference field="4294967294" count="1" selected="0">
            <x v="2"/>
          </reference>
          <reference field="0" count="1" selected="0">
            <x v="11"/>
          </reference>
          <reference field="1" count="1" selected="0">
            <x v="0"/>
          </reference>
        </references>
      </pivotArea>
    </chartFormat>
    <chartFormat chart="25" format="2182">
      <pivotArea type="data" outline="0" fieldPosition="0">
        <references count="3">
          <reference field="4294967294" count="1" selected="0">
            <x v="2"/>
          </reference>
          <reference field="0" count="1" selected="0">
            <x v="12"/>
          </reference>
          <reference field="1" count="1" selected="0">
            <x v="0"/>
          </reference>
        </references>
      </pivotArea>
    </chartFormat>
    <chartFormat chart="25" format="2183">
      <pivotArea type="data" outline="0" fieldPosition="0">
        <references count="3">
          <reference field="4294967294" count="1" selected="0">
            <x v="2"/>
          </reference>
          <reference field="0" count="1" selected="0">
            <x v="13"/>
          </reference>
          <reference field="1" count="1" selected="0">
            <x v="0"/>
          </reference>
        </references>
      </pivotArea>
    </chartFormat>
    <chartFormat chart="25" format="2184">
      <pivotArea type="data" outline="0" fieldPosition="0">
        <references count="3">
          <reference field="4294967294" count="1" selected="0">
            <x v="2"/>
          </reference>
          <reference field="0" count="1" selected="0">
            <x v="14"/>
          </reference>
          <reference field="1" count="1" selected="0">
            <x v="0"/>
          </reference>
        </references>
      </pivotArea>
    </chartFormat>
    <chartFormat chart="25" format="2185">
      <pivotArea type="data" outline="0" fieldPosition="0">
        <references count="3">
          <reference field="4294967294" count="1" selected="0">
            <x v="2"/>
          </reference>
          <reference field="0" count="1" selected="0">
            <x v="15"/>
          </reference>
          <reference field="1" count="1" selected="0">
            <x v="0"/>
          </reference>
        </references>
      </pivotArea>
    </chartFormat>
    <chartFormat chart="25" format="2186">
      <pivotArea type="data" outline="0" fieldPosition="0">
        <references count="3">
          <reference field="4294967294" count="1" selected="0">
            <x v="2"/>
          </reference>
          <reference field="0" count="1" selected="0">
            <x v="16"/>
          </reference>
          <reference field="1" count="1" selected="0">
            <x v="0"/>
          </reference>
        </references>
      </pivotArea>
    </chartFormat>
    <chartFormat chart="25" format="2187">
      <pivotArea type="data" outline="0" fieldPosition="0">
        <references count="3">
          <reference field="4294967294" count="1" selected="0">
            <x v="2"/>
          </reference>
          <reference field="0" count="1" selected="0">
            <x v="17"/>
          </reference>
          <reference field="1" count="1" selected="0">
            <x v="0"/>
          </reference>
        </references>
      </pivotArea>
    </chartFormat>
    <chartFormat chart="25" format="2188">
      <pivotArea type="data" outline="0" fieldPosition="0">
        <references count="3">
          <reference field="4294967294" count="1" selected="0">
            <x v="2"/>
          </reference>
          <reference field="0" count="1" selected="0">
            <x v="18"/>
          </reference>
          <reference field="1" count="1" selected="0">
            <x v="0"/>
          </reference>
        </references>
      </pivotArea>
    </chartFormat>
    <chartFormat chart="25" format="2189">
      <pivotArea type="data" outline="0" fieldPosition="0">
        <references count="3">
          <reference field="4294967294" count="1" selected="0">
            <x v="2"/>
          </reference>
          <reference field="0" count="1" selected="0">
            <x v="19"/>
          </reference>
          <reference field="1" count="1" selected="0">
            <x v="0"/>
          </reference>
        </references>
      </pivotArea>
    </chartFormat>
    <chartFormat chart="25" format="2190">
      <pivotArea type="data" outline="0" fieldPosition="0">
        <references count="3">
          <reference field="4294967294" count="1" selected="0">
            <x v="2"/>
          </reference>
          <reference field="0" count="1" selected="0">
            <x v="20"/>
          </reference>
          <reference field="1" count="1" selected="0">
            <x v="0"/>
          </reference>
        </references>
      </pivotArea>
    </chartFormat>
    <chartFormat chart="25" format="2191">
      <pivotArea type="data" outline="0" fieldPosition="0">
        <references count="3">
          <reference field="4294967294" count="1" selected="0">
            <x v="2"/>
          </reference>
          <reference field="0" count="1" selected="0">
            <x v="21"/>
          </reference>
          <reference field="1" count="1" selected="0">
            <x v="0"/>
          </reference>
        </references>
      </pivotArea>
    </chartFormat>
    <chartFormat chart="25" format="2192">
      <pivotArea type="data" outline="0" fieldPosition="0">
        <references count="3">
          <reference field="4294967294" count="1" selected="0">
            <x v="2"/>
          </reference>
          <reference field="0" count="1" selected="0">
            <x v="22"/>
          </reference>
          <reference field="1" count="1" selected="0">
            <x v="0"/>
          </reference>
        </references>
      </pivotArea>
    </chartFormat>
    <chartFormat chart="25" format="2193">
      <pivotArea type="data" outline="0" fieldPosition="0">
        <references count="3">
          <reference field="4294967294" count="1" selected="0">
            <x v="2"/>
          </reference>
          <reference field="0" count="1" selected="0">
            <x v="23"/>
          </reference>
          <reference field="1" count="1" selected="0">
            <x v="0"/>
          </reference>
        </references>
      </pivotArea>
    </chartFormat>
    <chartFormat chart="25" format="2194">
      <pivotArea type="data" outline="0" fieldPosition="0">
        <references count="3">
          <reference field="4294967294" count="1" selected="0">
            <x v="2"/>
          </reference>
          <reference field="0" count="1" selected="0">
            <x v="24"/>
          </reference>
          <reference field="1" count="1" selected="0">
            <x v="0"/>
          </reference>
        </references>
      </pivotArea>
    </chartFormat>
    <chartFormat chart="25" format="2195">
      <pivotArea type="data" outline="0" fieldPosition="0">
        <references count="3">
          <reference field="4294967294" count="1" selected="0">
            <x v="2"/>
          </reference>
          <reference field="0" count="1" selected="0">
            <x v="25"/>
          </reference>
          <reference field="1" count="1" selected="0">
            <x v="0"/>
          </reference>
        </references>
      </pivotArea>
    </chartFormat>
    <chartFormat chart="25" format="2196" series="1">
      <pivotArea type="data" outline="0" fieldPosition="0">
        <references count="2">
          <reference field="4294967294" count="1" selected="0">
            <x v="3"/>
          </reference>
          <reference field="1" count="1" selected="0">
            <x v="0"/>
          </reference>
        </references>
      </pivotArea>
    </chartFormat>
    <chartFormat chart="25" format="2197">
      <pivotArea type="data" outline="0" fieldPosition="0">
        <references count="3">
          <reference field="4294967294" count="1" selected="0">
            <x v="3"/>
          </reference>
          <reference field="0" count="1" selected="0">
            <x v="0"/>
          </reference>
          <reference field="1" count="1" selected="0">
            <x v="0"/>
          </reference>
        </references>
      </pivotArea>
    </chartFormat>
    <chartFormat chart="25" format="2198">
      <pivotArea type="data" outline="0" fieldPosition="0">
        <references count="3">
          <reference field="4294967294" count="1" selected="0">
            <x v="3"/>
          </reference>
          <reference field="0" count="1" selected="0">
            <x v="1"/>
          </reference>
          <reference field="1" count="1" selected="0">
            <x v="0"/>
          </reference>
        </references>
      </pivotArea>
    </chartFormat>
    <chartFormat chart="25" format="2199">
      <pivotArea type="data" outline="0" fieldPosition="0">
        <references count="3">
          <reference field="4294967294" count="1" selected="0">
            <x v="3"/>
          </reference>
          <reference field="0" count="1" selected="0">
            <x v="2"/>
          </reference>
          <reference field="1" count="1" selected="0">
            <x v="0"/>
          </reference>
        </references>
      </pivotArea>
    </chartFormat>
    <chartFormat chart="25" format="2200">
      <pivotArea type="data" outline="0" fieldPosition="0">
        <references count="3">
          <reference field="4294967294" count="1" selected="0">
            <x v="3"/>
          </reference>
          <reference field="0" count="1" selected="0">
            <x v="3"/>
          </reference>
          <reference field="1" count="1" selected="0">
            <x v="0"/>
          </reference>
        </references>
      </pivotArea>
    </chartFormat>
    <chartFormat chart="25" format="2201">
      <pivotArea type="data" outline="0" fieldPosition="0">
        <references count="3">
          <reference field="4294967294" count="1" selected="0">
            <x v="3"/>
          </reference>
          <reference field="0" count="1" selected="0">
            <x v="4"/>
          </reference>
          <reference field="1" count="1" selected="0">
            <x v="0"/>
          </reference>
        </references>
      </pivotArea>
    </chartFormat>
    <chartFormat chart="25" format="2202">
      <pivotArea type="data" outline="0" fieldPosition="0">
        <references count="3">
          <reference field="4294967294" count="1" selected="0">
            <x v="3"/>
          </reference>
          <reference field="0" count="1" selected="0">
            <x v="5"/>
          </reference>
          <reference field="1" count="1" selected="0">
            <x v="0"/>
          </reference>
        </references>
      </pivotArea>
    </chartFormat>
    <chartFormat chart="25" format="2203">
      <pivotArea type="data" outline="0" fieldPosition="0">
        <references count="3">
          <reference field="4294967294" count="1" selected="0">
            <x v="3"/>
          </reference>
          <reference field="0" count="1" selected="0">
            <x v="6"/>
          </reference>
          <reference field="1" count="1" selected="0">
            <x v="0"/>
          </reference>
        </references>
      </pivotArea>
    </chartFormat>
    <chartFormat chart="25" format="2204">
      <pivotArea type="data" outline="0" fieldPosition="0">
        <references count="3">
          <reference field="4294967294" count="1" selected="0">
            <x v="3"/>
          </reference>
          <reference field="0" count="1" selected="0">
            <x v="7"/>
          </reference>
          <reference field="1" count="1" selected="0">
            <x v="0"/>
          </reference>
        </references>
      </pivotArea>
    </chartFormat>
    <chartFormat chart="25" format="2205">
      <pivotArea type="data" outline="0" fieldPosition="0">
        <references count="3">
          <reference field="4294967294" count="1" selected="0">
            <x v="3"/>
          </reference>
          <reference field="0" count="1" selected="0">
            <x v="8"/>
          </reference>
          <reference field="1" count="1" selected="0">
            <x v="0"/>
          </reference>
        </references>
      </pivotArea>
    </chartFormat>
    <chartFormat chart="25" format="2206">
      <pivotArea type="data" outline="0" fieldPosition="0">
        <references count="3">
          <reference field="4294967294" count="1" selected="0">
            <x v="3"/>
          </reference>
          <reference field="0" count="1" selected="0">
            <x v="9"/>
          </reference>
          <reference field="1" count="1" selected="0">
            <x v="0"/>
          </reference>
        </references>
      </pivotArea>
    </chartFormat>
    <chartFormat chart="25" format="2207">
      <pivotArea type="data" outline="0" fieldPosition="0">
        <references count="3">
          <reference field="4294967294" count="1" selected="0">
            <x v="3"/>
          </reference>
          <reference field="0" count="1" selected="0">
            <x v="10"/>
          </reference>
          <reference field="1" count="1" selected="0">
            <x v="0"/>
          </reference>
        </references>
      </pivotArea>
    </chartFormat>
    <chartFormat chart="25" format="2208">
      <pivotArea type="data" outline="0" fieldPosition="0">
        <references count="3">
          <reference field="4294967294" count="1" selected="0">
            <x v="3"/>
          </reference>
          <reference field="0" count="1" selected="0">
            <x v="11"/>
          </reference>
          <reference field="1" count="1" selected="0">
            <x v="0"/>
          </reference>
        </references>
      </pivotArea>
    </chartFormat>
    <chartFormat chart="25" format="2209">
      <pivotArea type="data" outline="0" fieldPosition="0">
        <references count="3">
          <reference field="4294967294" count="1" selected="0">
            <x v="3"/>
          </reference>
          <reference field="0" count="1" selected="0">
            <x v="12"/>
          </reference>
          <reference field="1" count="1" selected="0">
            <x v="0"/>
          </reference>
        </references>
      </pivotArea>
    </chartFormat>
    <chartFormat chart="25" format="2210">
      <pivotArea type="data" outline="0" fieldPosition="0">
        <references count="3">
          <reference field="4294967294" count="1" selected="0">
            <x v="3"/>
          </reference>
          <reference field="0" count="1" selected="0">
            <x v="13"/>
          </reference>
          <reference field="1" count="1" selected="0">
            <x v="0"/>
          </reference>
        </references>
      </pivotArea>
    </chartFormat>
    <chartFormat chart="25" format="2211">
      <pivotArea type="data" outline="0" fieldPosition="0">
        <references count="3">
          <reference field="4294967294" count="1" selected="0">
            <x v="3"/>
          </reference>
          <reference field="0" count="1" selected="0">
            <x v="14"/>
          </reference>
          <reference field="1" count="1" selected="0">
            <x v="0"/>
          </reference>
        </references>
      </pivotArea>
    </chartFormat>
    <chartFormat chart="25" format="2212">
      <pivotArea type="data" outline="0" fieldPosition="0">
        <references count="3">
          <reference field="4294967294" count="1" selected="0">
            <x v="3"/>
          </reference>
          <reference field="0" count="1" selected="0">
            <x v="15"/>
          </reference>
          <reference field="1" count="1" selected="0">
            <x v="0"/>
          </reference>
        </references>
      </pivotArea>
    </chartFormat>
    <chartFormat chart="25" format="2213">
      <pivotArea type="data" outline="0" fieldPosition="0">
        <references count="3">
          <reference field="4294967294" count="1" selected="0">
            <x v="3"/>
          </reference>
          <reference field="0" count="1" selected="0">
            <x v="16"/>
          </reference>
          <reference field="1" count="1" selected="0">
            <x v="0"/>
          </reference>
        </references>
      </pivotArea>
    </chartFormat>
    <chartFormat chart="25" format="2214">
      <pivotArea type="data" outline="0" fieldPosition="0">
        <references count="3">
          <reference field="4294967294" count="1" selected="0">
            <x v="3"/>
          </reference>
          <reference field="0" count="1" selected="0">
            <x v="17"/>
          </reference>
          <reference field="1" count="1" selected="0">
            <x v="0"/>
          </reference>
        </references>
      </pivotArea>
    </chartFormat>
    <chartFormat chart="25" format="2215">
      <pivotArea type="data" outline="0" fieldPosition="0">
        <references count="3">
          <reference field="4294967294" count="1" selected="0">
            <x v="3"/>
          </reference>
          <reference field="0" count="1" selected="0">
            <x v="18"/>
          </reference>
          <reference field="1" count="1" selected="0">
            <x v="0"/>
          </reference>
        </references>
      </pivotArea>
    </chartFormat>
    <chartFormat chart="25" format="2216">
      <pivotArea type="data" outline="0" fieldPosition="0">
        <references count="3">
          <reference field="4294967294" count="1" selected="0">
            <x v="3"/>
          </reference>
          <reference field="0" count="1" selected="0">
            <x v="19"/>
          </reference>
          <reference field="1" count="1" selected="0">
            <x v="0"/>
          </reference>
        </references>
      </pivotArea>
    </chartFormat>
    <chartFormat chart="25" format="2217">
      <pivotArea type="data" outline="0" fieldPosition="0">
        <references count="3">
          <reference field="4294967294" count="1" selected="0">
            <x v="3"/>
          </reference>
          <reference field="0" count="1" selected="0">
            <x v="20"/>
          </reference>
          <reference field="1" count="1" selected="0">
            <x v="0"/>
          </reference>
        </references>
      </pivotArea>
    </chartFormat>
    <chartFormat chart="25" format="2218">
      <pivotArea type="data" outline="0" fieldPosition="0">
        <references count="3">
          <reference field="4294967294" count="1" selected="0">
            <x v="3"/>
          </reference>
          <reference field="0" count="1" selected="0">
            <x v="21"/>
          </reference>
          <reference field="1" count="1" selected="0">
            <x v="0"/>
          </reference>
        </references>
      </pivotArea>
    </chartFormat>
    <chartFormat chart="25" format="2219">
      <pivotArea type="data" outline="0" fieldPosition="0">
        <references count="3">
          <reference field="4294967294" count="1" selected="0">
            <x v="3"/>
          </reference>
          <reference field="0" count="1" selected="0">
            <x v="22"/>
          </reference>
          <reference field="1" count="1" selected="0">
            <x v="0"/>
          </reference>
        </references>
      </pivotArea>
    </chartFormat>
    <chartFormat chart="25" format="2220">
      <pivotArea type="data" outline="0" fieldPosition="0">
        <references count="3">
          <reference field="4294967294" count="1" selected="0">
            <x v="3"/>
          </reference>
          <reference field="0" count="1" selected="0">
            <x v="23"/>
          </reference>
          <reference field="1" count="1" selected="0">
            <x v="0"/>
          </reference>
        </references>
      </pivotArea>
    </chartFormat>
    <chartFormat chart="25" format="2221">
      <pivotArea type="data" outline="0" fieldPosition="0">
        <references count="3">
          <reference field="4294967294" count="1" selected="0">
            <x v="3"/>
          </reference>
          <reference field="0" count="1" selected="0">
            <x v="24"/>
          </reference>
          <reference field="1" count="1" selected="0">
            <x v="0"/>
          </reference>
        </references>
      </pivotArea>
    </chartFormat>
    <chartFormat chart="25" format="2222">
      <pivotArea type="data" outline="0" fieldPosition="0">
        <references count="3">
          <reference field="4294967294" count="1" selected="0">
            <x v="3"/>
          </reference>
          <reference field="0" count="1" selected="0">
            <x v="25"/>
          </reference>
          <reference field="1" count="1" selected="0">
            <x v="0"/>
          </reference>
        </references>
      </pivotArea>
    </chartFormat>
    <chartFormat chart="25" format="2223" series="1">
      <pivotArea type="data" outline="0" fieldPosition="0">
        <references count="2">
          <reference field="4294967294" count="1" selected="0">
            <x v="4"/>
          </reference>
          <reference field="1" count="1" selected="0">
            <x v="0"/>
          </reference>
        </references>
      </pivotArea>
    </chartFormat>
    <chartFormat chart="25" format="2224">
      <pivotArea type="data" outline="0" fieldPosition="0">
        <references count="3">
          <reference field="4294967294" count="1" selected="0">
            <x v="4"/>
          </reference>
          <reference field="0" count="1" selected="0">
            <x v="0"/>
          </reference>
          <reference field="1" count="1" selected="0">
            <x v="0"/>
          </reference>
        </references>
      </pivotArea>
    </chartFormat>
    <chartFormat chart="25" format="2225">
      <pivotArea type="data" outline="0" fieldPosition="0">
        <references count="3">
          <reference field="4294967294" count="1" selected="0">
            <x v="4"/>
          </reference>
          <reference field="0" count="1" selected="0">
            <x v="1"/>
          </reference>
          <reference field="1" count="1" selected="0">
            <x v="0"/>
          </reference>
        </references>
      </pivotArea>
    </chartFormat>
    <chartFormat chart="25" format="2226">
      <pivotArea type="data" outline="0" fieldPosition="0">
        <references count="3">
          <reference field="4294967294" count="1" selected="0">
            <x v="4"/>
          </reference>
          <reference field="0" count="1" selected="0">
            <x v="2"/>
          </reference>
          <reference field="1" count="1" selected="0">
            <x v="0"/>
          </reference>
        </references>
      </pivotArea>
    </chartFormat>
    <chartFormat chart="25" format="2227">
      <pivotArea type="data" outline="0" fieldPosition="0">
        <references count="3">
          <reference field="4294967294" count="1" selected="0">
            <x v="4"/>
          </reference>
          <reference field="0" count="1" selected="0">
            <x v="3"/>
          </reference>
          <reference field="1" count="1" selected="0">
            <x v="0"/>
          </reference>
        </references>
      </pivotArea>
    </chartFormat>
    <chartFormat chart="25" format="2228">
      <pivotArea type="data" outline="0" fieldPosition="0">
        <references count="3">
          <reference field="4294967294" count="1" selected="0">
            <x v="4"/>
          </reference>
          <reference field="0" count="1" selected="0">
            <x v="4"/>
          </reference>
          <reference field="1" count="1" selected="0">
            <x v="0"/>
          </reference>
        </references>
      </pivotArea>
    </chartFormat>
    <chartFormat chart="25" format="2229">
      <pivotArea type="data" outline="0" fieldPosition="0">
        <references count="3">
          <reference field="4294967294" count="1" selected="0">
            <x v="4"/>
          </reference>
          <reference field="0" count="1" selected="0">
            <x v="5"/>
          </reference>
          <reference field="1" count="1" selected="0">
            <x v="0"/>
          </reference>
        </references>
      </pivotArea>
    </chartFormat>
    <chartFormat chart="25" format="2230">
      <pivotArea type="data" outline="0" fieldPosition="0">
        <references count="3">
          <reference field="4294967294" count="1" selected="0">
            <x v="4"/>
          </reference>
          <reference field="0" count="1" selected="0">
            <x v="6"/>
          </reference>
          <reference field="1" count="1" selected="0">
            <x v="0"/>
          </reference>
        </references>
      </pivotArea>
    </chartFormat>
    <chartFormat chart="25" format="2231">
      <pivotArea type="data" outline="0" fieldPosition="0">
        <references count="3">
          <reference field="4294967294" count="1" selected="0">
            <x v="4"/>
          </reference>
          <reference field="0" count="1" selected="0">
            <x v="7"/>
          </reference>
          <reference field="1" count="1" selected="0">
            <x v="0"/>
          </reference>
        </references>
      </pivotArea>
    </chartFormat>
    <chartFormat chart="25" format="2232">
      <pivotArea type="data" outline="0" fieldPosition="0">
        <references count="3">
          <reference field="4294967294" count="1" selected="0">
            <x v="4"/>
          </reference>
          <reference field="0" count="1" selected="0">
            <x v="8"/>
          </reference>
          <reference field="1" count="1" selected="0">
            <x v="0"/>
          </reference>
        </references>
      </pivotArea>
    </chartFormat>
    <chartFormat chart="25" format="2233">
      <pivotArea type="data" outline="0" fieldPosition="0">
        <references count="3">
          <reference field="4294967294" count="1" selected="0">
            <x v="4"/>
          </reference>
          <reference field="0" count="1" selected="0">
            <x v="9"/>
          </reference>
          <reference field="1" count="1" selected="0">
            <x v="0"/>
          </reference>
        </references>
      </pivotArea>
    </chartFormat>
    <chartFormat chart="25" format="2234">
      <pivotArea type="data" outline="0" fieldPosition="0">
        <references count="3">
          <reference field="4294967294" count="1" selected="0">
            <x v="4"/>
          </reference>
          <reference field="0" count="1" selected="0">
            <x v="10"/>
          </reference>
          <reference field="1" count="1" selected="0">
            <x v="0"/>
          </reference>
        </references>
      </pivotArea>
    </chartFormat>
    <chartFormat chart="25" format="2235">
      <pivotArea type="data" outline="0" fieldPosition="0">
        <references count="3">
          <reference field="4294967294" count="1" selected="0">
            <x v="4"/>
          </reference>
          <reference field="0" count="1" selected="0">
            <x v="11"/>
          </reference>
          <reference field="1" count="1" selected="0">
            <x v="0"/>
          </reference>
        </references>
      </pivotArea>
    </chartFormat>
    <chartFormat chart="25" format="2236">
      <pivotArea type="data" outline="0" fieldPosition="0">
        <references count="3">
          <reference field="4294967294" count="1" selected="0">
            <x v="4"/>
          </reference>
          <reference field="0" count="1" selected="0">
            <x v="12"/>
          </reference>
          <reference field="1" count="1" selected="0">
            <x v="0"/>
          </reference>
        </references>
      </pivotArea>
    </chartFormat>
    <chartFormat chart="25" format="2237">
      <pivotArea type="data" outline="0" fieldPosition="0">
        <references count="3">
          <reference field="4294967294" count="1" selected="0">
            <x v="4"/>
          </reference>
          <reference field="0" count="1" selected="0">
            <x v="13"/>
          </reference>
          <reference field="1" count="1" selected="0">
            <x v="0"/>
          </reference>
        </references>
      </pivotArea>
    </chartFormat>
    <chartFormat chart="25" format="2238">
      <pivotArea type="data" outline="0" fieldPosition="0">
        <references count="3">
          <reference field="4294967294" count="1" selected="0">
            <x v="4"/>
          </reference>
          <reference field="0" count="1" selected="0">
            <x v="14"/>
          </reference>
          <reference field="1" count="1" selected="0">
            <x v="0"/>
          </reference>
        </references>
      </pivotArea>
    </chartFormat>
    <chartFormat chart="25" format="2239">
      <pivotArea type="data" outline="0" fieldPosition="0">
        <references count="3">
          <reference field="4294967294" count="1" selected="0">
            <x v="4"/>
          </reference>
          <reference field="0" count="1" selected="0">
            <x v="15"/>
          </reference>
          <reference field="1" count="1" selected="0">
            <x v="0"/>
          </reference>
        </references>
      </pivotArea>
    </chartFormat>
    <chartFormat chart="25" format="2240">
      <pivotArea type="data" outline="0" fieldPosition="0">
        <references count="3">
          <reference field="4294967294" count="1" selected="0">
            <x v="4"/>
          </reference>
          <reference field="0" count="1" selected="0">
            <x v="16"/>
          </reference>
          <reference field="1" count="1" selected="0">
            <x v="0"/>
          </reference>
        </references>
      </pivotArea>
    </chartFormat>
    <chartFormat chart="25" format="2241">
      <pivotArea type="data" outline="0" fieldPosition="0">
        <references count="3">
          <reference field="4294967294" count="1" selected="0">
            <x v="4"/>
          </reference>
          <reference field="0" count="1" selected="0">
            <x v="17"/>
          </reference>
          <reference field="1" count="1" selected="0">
            <x v="0"/>
          </reference>
        </references>
      </pivotArea>
    </chartFormat>
    <chartFormat chart="25" format="2242">
      <pivotArea type="data" outline="0" fieldPosition="0">
        <references count="3">
          <reference field="4294967294" count="1" selected="0">
            <x v="4"/>
          </reference>
          <reference field="0" count="1" selected="0">
            <x v="18"/>
          </reference>
          <reference field="1" count="1" selected="0">
            <x v="0"/>
          </reference>
        </references>
      </pivotArea>
    </chartFormat>
    <chartFormat chart="25" format="2243">
      <pivotArea type="data" outline="0" fieldPosition="0">
        <references count="3">
          <reference field="4294967294" count="1" selected="0">
            <x v="4"/>
          </reference>
          <reference field="0" count="1" selected="0">
            <x v="19"/>
          </reference>
          <reference field="1" count="1" selected="0">
            <x v="0"/>
          </reference>
        </references>
      </pivotArea>
    </chartFormat>
    <chartFormat chart="25" format="2244">
      <pivotArea type="data" outline="0" fieldPosition="0">
        <references count="3">
          <reference field="4294967294" count="1" selected="0">
            <x v="4"/>
          </reference>
          <reference field="0" count="1" selected="0">
            <x v="20"/>
          </reference>
          <reference field="1" count="1" selected="0">
            <x v="0"/>
          </reference>
        </references>
      </pivotArea>
    </chartFormat>
    <chartFormat chart="25" format="2245">
      <pivotArea type="data" outline="0" fieldPosition="0">
        <references count="3">
          <reference field="4294967294" count="1" selected="0">
            <x v="4"/>
          </reference>
          <reference field="0" count="1" selected="0">
            <x v="21"/>
          </reference>
          <reference field="1" count="1" selected="0">
            <x v="0"/>
          </reference>
        </references>
      </pivotArea>
    </chartFormat>
    <chartFormat chart="25" format="2246">
      <pivotArea type="data" outline="0" fieldPosition="0">
        <references count="3">
          <reference field="4294967294" count="1" selected="0">
            <x v="4"/>
          </reference>
          <reference field="0" count="1" selected="0">
            <x v="22"/>
          </reference>
          <reference field="1" count="1" selected="0">
            <x v="0"/>
          </reference>
        </references>
      </pivotArea>
    </chartFormat>
    <chartFormat chart="25" format="2247">
      <pivotArea type="data" outline="0" fieldPosition="0">
        <references count="3">
          <reference field="4294967294" count="1" selected="0">
            <x v="4"/>
          </reference>
          <reference field="0" count="1" selected="0">
            <x v="23"/>
          </reference>
          <reference field="1" count="1" selected="0">
            <x v="0"/>
          </reference>
        </references>
      </pivotArea>
    </chartFormat>
    <chartFormat chart="25" format="2248">
      <pivotArea type="data" outline="0" fieldPosition="0">
        <references count="3">
          <reference field="4294967294" count="1" selected="0">
            <x v="4"/>
          </reference>
          <reference field="0" count="1" selected="0">
            <x v="24"/>
          </reference>
          <reference field="1" count="1" selected="0">
            <x v="0"/>
          </reference>
        </references>
      </pivotArea>
    </chartFormat>
    <chartFormat chart="25" format="2249">
      <pivotArea type="data" outline="0" fieldPosition="0">
        <references count="3">
          <reference field="4294967294" count="1" selected="0">
            <x v="4"/>
          </reference>
          <reference field="0" count="1" selected="0">
            <x v="25"/>
          </reference>
          <reference field="1" count="1" selected="0">
            <x v="0"/>
          </reference>
        </references>
      </pivotArea>
    </chartFormat>
    <chartFormat chart="25" format="2250" series="1">
      <pivotArea type="data" outline="0" fieldPosition="0">
        <references count="2">
          <reference field="4294967294" count="1" selected="0">
            <x v="0"/>
          </reference>
          <reference field="1" count="1" selected="0">
            <x v="1"/>
          </reference>
        </references>
      </pivotArea>
    </chartFormat>
    <chartFormat chart="25" format="2251">
      <pivotArea type="data" outline="0" fieldPosition="0">
        <references count="3">
          <reference field="4294967294" count="1" selected="0">
            <x v="0"/>
          </reference>
          <reference field="0" count="1" selected="0">
            <x v="0"/>
          </reference>
          <reference field="1" count="1" selected="0">
            <x v="1"/>
          </reference>
        </references>
      </pivotArea>
    </chartFormat>
    <chartFormat chart="25" format="2252">
      <pivotArea type="data" outline="0" fieldPosition="0">
        <references count="3">
          <reference field="4294967294" count="1" selected="0">
            <x v="0"/>
          </reference>
          <reference field="0" count="1" selected="0">
            <x v="1"/>
          </reference>
          <reference field="1" count="1" selected="0">
            <x v="1"/>
          </reference>
        </references>
      </pivotArea>
    </chartFormat>
    <chartFormat chart="25" format="2253">
      <pivotArea type="data" outline="0" fieldPosition="0">
        <references count="3">
          <reference field="4294967294" count="1" selected="0">
            <x v="0"/>
          </reference>
          <reference field="0" count="1" selected="0">
            <x v="2"/>
          </reference>
          <reference field="1" count="1" selected="0">
            <x v="1"/>
          </reference>
        </references>
      </pivotArea>
    </chartFormat>
    <chartFormat chart="25" format="2254">
      <pivotArea type="data" outline="0" fieldPosition="0">
        <references count="3">
          <reference field="4294967294" count="1" selected="0">
            <x v="0"/>
          </reference>
          <reference field="0" count="1" selected="0">
            <x v="3"/>
          </reference>
          <reference field="1" count="1" selected="0">
            <x v="1"/>
          </reference>
        </references>
      </pivotArea>
    </chartFormat>
    <chartFormat chart="25" format="2255">
      <pivotArea type="data" outline="0" fieldPosition="0">
        <references count="3">
          <reference field="4294967294" count="1" selected="0">
            <x v="0"/>
          </reference>
          <reference field="0" count="1" selected="0">
            <x v="4"/>
          </reference>
          <reference field="1" count="1" selected="0">
            <x v="1"/>
          </reference>
        </references>
      </pivotArea>
    </chartFormat>
    <chartFormat chart="25" format="2256">
      <pivotArea type="data" outline="0" fieldPosition="0">
        <references count="3">
          <reference field="4294967294" count="1" selected="0">
            <x v="0"/>
          </reference>
          <reference field="0" count="1" selected="0">
            <x v="5"/>
          </reference>
          <reference field="1" count="1" selected="0">
            <x v="1"/>
          </reference>
        </references>
      </pivotArea>
    </chartFormat>
    <chartFormat chart="25" format="2257">
      <pivotArea type="data" outline="0" fieldPosition="0">
        <references count="3">
          <reference field="4294967294" count="1" selected="0">
            <x v="0"/>
          </reference>
          <reference field="0" count="1" selected="0">
            <x v="6"/>
          </reference>
          <reference field="1" count="1" selected="0">
            <x v="1"/>
          </reference>
        </references>
      </pivotArea>
    </chartFormat>
    <chartFormat chart="25" format="2258">
      <pivotArea type="data" outline="0" fieldPosition="0">
        <references count="3">
          <reference field="4294967294" count="1" selected="0">
            <x v="0"/>
          </reference>
          <reference field="0" count="1" selected="0">
            <x v="7"/>
          </reference>
          <reference field="1" count="1" selected="0">
            <x v="1"/>
          </reference>
        </references>
      </pivotArea>
    </chartFormat>
    <chartFormat chart="25" format="2259">
      <pivotArea type="data" outline="0" fieldPosition="0">
        <references count="3">
          <reference field="4294967294" count="1" selected="0">
            <x v="0"/>
          </reference>
          <reference field="0" count="1" selected="0">
            <x v="8"/>
          </reference>
          <reference field="1" count="1" selected="0">
            <x v="1"/>
          </reference>
        </references>
      </pivotArea>
    </chartFormat>
    <chartFormat chart="25" format="2260">
      <pivotArea type="data" outline="0" fieldPosition="0">
        <references count="3">
          <reference field="4294967294" count="1" selected="0">
            <x v="0"/>
          </reference>
          <reference field="0" count="1" selected="0">
            <x v="9"/>
          </reference>
          <reference field="1" count="1" selected="0">
            <x v="1"/>
          </reference>
        </references>
      </pivotArea>
    </chartFormat>
    <chartFormat chart="25" format="2261">
      <pivotArea type="data" outline="0" fieldPosition="0">
        <references count="3">
          <reference field="4294967294" count="1" selected="0">
            <x v="0"/>
          </reference>
          <reference field="0" count="1" selected="0">
            <x v="10"/>
          </reference>
          <reference field="1" count="1" selected="0">
            <x v="1"/>
          </reference>
        </references>
      </pivotArea>
    </chartFormat>
    <chartFormat chart="25" format="2262">
      <pivotArea type="data" outline="0" fieldPosition="0">
        <references count="3">
          <reference field="4294967294" count="1" selected="0">
            <x v="0"/>
          </reference>
          <reference field="0" count="1" selected="0">
            <x v="11"/>
          </reference>
          <reference field="1" count="1" selected="0">
            <x v="1"/>
          </reference>
        </references>
      </pivotArea>
    </chartFormat>
    <chartFormat chart="25" format="2263">
      <pivotArea type="data" outline="0" fieldPosition="0">
        <references count="3">
          <reference field="4294967294" count="1" selected="0">
            <x v="0"/>
          </reference>
          <reference field="0" count="1" selected="0">
            <x v="12"/>
          </reference>
          <reference field="1" count="1" selected="0">
            <x v="1"/>
          </reference>
        </references>
      </pivotArea>
    </chartFormat>
    <chartFormat chart="25" format="2264">
      <pivotArea type="data" outline="0" fieldPosition="0">
        <references count="3">
          <reference field="4294967294" count="1" selected="0">
            <x v="0"/>
          </reference>
          <reference field="0" count="1" selected="0">
            <x v="13"/>
          </reference>
          <reference field="1" count="1" selected="0">
            <x v="1"/>
          </reference>
        </references>
      </pivotArea>
    </chartFormat>
    <chartFormat chart="25" format="2265">
      <pivotArea type="data" outline="0" fieldPosition="0">
        <references count="3">
          <reference field="4294967294" count="1" selected="0">
            <x v="0"/>
          </reference>
          <reference field="0" count="1" selected="0">
            <x v="14"/>
          </reference>
          <reference field="1" count="1" selected="0">
            <x v="1"/>
          </reference>
        </references>
      </pivotArea>
    </chartFormat>
    <chartFormat chart="25" format="2266">
      <pivotArea type="data" outline="0" fieldPosition="0">
        <references count="3">
          <reference field="4294967294" count="1" selected="0">
            <x v="0"/>
          </reference>
          <reference field="0" count="1" selected="0">
            <x v="15"/>
          </reference>
          <reference field="1" count="1" selected="0">
            <x v="1"/>
          </reference>
        </references>
      </pivotArea>
    </chartFormat>
    <chartFormat chart="25" format="2267">
      <pivotArea type="data" outline="0" fieldPosition="0">
        <references count="3">
          <reference field="4294967294" count="1" selected="0">
            <x v="0"/>
          </reference>
          <reference field="0" count="1" selected="0">
            <x v="16"/>
          </reference>
          <reference field="1" count="1" selected="0">
            <x v="1"/>
          </reference>
        </references>
      </pivotArea>
    </chartFormat>
    <chartFormat chart="25" format="2268">
      <pivotArea type="data" outline="0" fieldPosition="0">
        <references count="3">
          <reference field="4294967294" count="1" selected="0">
            <x v="0"/>
          </reference>
          <reference field="0" count="1" selected="0">
            <x v="17"/>
          </reference>
          <reference field="1" count="1" selected="0">
            <x v="1"/>
          </reference>
        </references>
      </pivotArea>
    </chartFormat>
    <chartFormat chart="25" format="2269">
      <pivotArea type="data" outline="0" fieldPosition="0">
        <references count="3">
          <reference field="4294967294" count="1" selected="0">
            <x v="0"/>
          </reference>
          <reference field="0" count="1" selected="0">
            <x v="18"/>
          </reference>
          <reference field="1" count="1" selected="0">
            <x v="1"/>
          </reference>
        </references>
      </pivotArea>
    </chartFormat>
    <chartFormat chart="25" format="2270">
      <pivotArea type="data" outline="0" fieldPosition="0">
        <references count="3">
          <reference field="4294967294" count="1" selected="0">
            <x v="0"/>
          </reference>
          <reference field="0" count="1" selected="0">
            <x v="19"/>
          </reference>
          <reference field="1" count="1" selected="0">
            <x v="1"/>
          </reference>
        </references>
      </pivotArea>
    </chartFormat>
    <chartFormat chart="25" format="2271">
      <pivotArea type="data" outline="0" fieldPosition="0">
        <references count="3">
          <reference field="4294967294" count="1" selected="0">
            <x v="0"/>
          </reference>
          <reference field="0" count="1" selected="0">
            <x v="20"/>
          </reference>
          <reference field="1" count="1" selected="0">
            <x v="1"/>
          </reference>
        </references>
      </pivotArea>
    </chartFormat>
    <chartFormat chart="25" format="2272">
      <pivotArea type="data" outline="0" fieldPosition="0">
        <references count="3">
          <reference field="4294967294" count="1" selected="0">
            <x v="0"/>
          </reference>
          <reference field="0" count="1" selected="0">
            <x v="21"/>
          </reference>
          <reference field="1" count="1" selected="0">
            <x v="1"/>
          </reference>
        </references>
      </pivotArea>
    </chartFormat>
    <chartFormat chart="25" format="2273">
      <pivotArea type="data" outline="0" fieldPosition="0">
        <references count="3">
          <reference field="4294967294" count="1" selected="0">
            <x v="0"/>
          </reference>
          <reference field="0" count="1" selected="0">
            <x v="22"/>
          </reference>
          <reference field="1" count="1" selected="0">
            <x v="1"/>
          </reference>
        </references>
      </pivotArea>
    </chartFormat>
    <chartFormat chart="25" format="2274">
      <pivotArea type="data" outline="0" fieldPosition="0">
        <references count="3">
          <reference field="4294967294" count="1" selected="0">
            <x v="0"/>
          </reference>
          <reference field="0" count="1" selected="0">
            <x v="23"/>
          </reference>
          <reference field="1" count="1" selected="0">
            <x v="1"/>
          </reference>
        </references>
      </pivotArea>
    </chartFormat>
    <chartFormat chart="25" format="2275">
      <pivotArea type="data" outline="0" fieldPosition="0">
        <references count="3">
          <reference field="4294967294" count="1" selected="0">
            <x v="0"/>
          </reference>
          <reference field="0" count="1" selected="0">
            <x v="24"/>
          </reference>
          <reference field="1" count="1" selected="0">
            <x v="1"/>
          </reference>
        </references>
      </pivotArea>
    </chartFormat>
    <chartFormat chart="25" format="2276">
      <pivotArea type="data" outline="0" fieldPosition="0">
        <references count="3">
          <reference field="4294967294" count="1" selected="0">
            <x v="0"/>
          </reference>
          <reference field="0" count="1" selected="0">
            <x v="25"/>
          </reference>
          <reference field="1" count="1" selected="0">
            <x v="1"/>
          </reference>
        </references>
      </pivotArea>
    </chartFormat>
    <chartFormat chart="25" format="2277" series="1">
      <pivotArea type="data" outline="0" fieldPosition="0">
        <references count="2">
          <reference field="4294967294" count="1" selected="0">
            <x v="1"/>
          </reference>
          <reference field="1" count="1" selected="0">
            <x v="1"/>
          </reference>
        </references>
      </pivotArea>
    </chartFormat>
    <chartFormat chart="25" format="2278">
      <pivotArea type="data" outline="0" fieldPosition="0">
        <references count="3">
          <reference field="4294967294" count="1" selected="0">
            <x v="1"/>
          </reference>
          <reference field="0" count="1" selected="0">
            <x v="0"/>
          </reference>
          <reference field="1" count="1" selected="0">
            <x v="1"/>
          </reference>
        </references>
      </pivotArea>
    </chartFormat>
    <chartFormat chart="25" format="2279">
      <pivotArea type="data" outline="0" fieldPosition="0">
        <references count="3">
          <reference field="4294967294" count="1" selected="0">
            <x v="1"/>
          </reference>
          <reference field="0" count="1" selected="0">
            <x v="1"/>
          </reference>
          <reference field="1" count="1" selected="0">
            <x v="1"/>
          </reference>
        </references>
      </pivotArea>
    </chartFormat>
    <chartFormat chart="25" format="2280">
      <pivotArea type="data" outline="0" fieldPosition="0">
        <references count="3">
          <reference field="4294967294" count="1" selected="0">
            <x v="1"/>
          </reference>
          <reference field="0" count="1" selected="0">
            <x v="2"/>
          </reference>
          <reference field="1" count="1" selected="0">
            <x v="1"/>
          </reference>
        </references>
      </pivotArea>
    </chartFormat>
    <chartFormat chart="25" format="2281">
      <pivotArea type="data" outline="0" fieldPosition="0">
        <references count="3">
          <reference field="4294967294" count="1" selected="0">
            <x v="1"/>
          </reference>
          <reference field="0" count="1" selected="0">
            <x v="3"/>
          </reference>
          <reference field="1" count="1" selected="0">
            <x v="1"/>
          </reference>
        </references>
      </pivotArea>
    </chartFormat>
    <chartFormat chart="25" format="2282">
      <pivotArea type="data" outline="0" fieldPosition="0">
        <references count="3">
          <reference field="4294967294" count="1" selected="0">
            <x v="1"/>
          </reference>
          <reference field="0" count="1" selected="0">
            <x v="4"/>
          </reference>
          <reference field="1" count="1" selected="0">
            <x v="1"/>
          </reference>
        </references>
      </pivotArea>
    </chartFormat>
    <chartFormat chart="25" format="2283">
      <pivotArea type="data" outline="0" fieldPosition="0">
        <references count="3">
          <reference field="4294967294" count="1" selected="0">
            <x v="1"/>
          </reference>
          <reference field="0" count="1" selected="0">
            <x v="5"/>
          </reference>
          <reference field="1" count="1" selected="0">
            <x v="1"/>
          </reference>
        </references>
      </pivotArea>
    </chartFormat>
    <chartFormat chart="25" format="2284">
      <pivotArea type="data" outline="0" fieldPosition="0">
        <references count="3">
          <reference field="4294967294" count="1" selected="0">
            <x v="1"/>
          </reference>
          <reference field="0" count="1" selected="0">
            <x v="6"/>
          </reference>
          <reference field="1" count="1" selected="0">
            <x v="1"/>
          </reference>
        </references>
      </pivotArea>
    </chartFormat>
    <chartFormat chart="25" format="2285">
      <pivotArea type="data" outline="0" fieldPosition="0">
        <references count="3">
          <reference field="4294967294" count="1" selected="0">
            <x v="1"/>
          </reference>
          <reference field="0" count="1" selected="0">
            <x v="7"/>
          </reference>
          <reference field="1" count="1" selected="0">
            <x v="1"/>
          </reference>
        </references>
      </pivotArea>
    </chartFormat>
    <chartFormat chart="25" format="2286">
      <pivotArea type="data" outline="0" fieldPosition="0">
        <references count="3">
          <reference field="4294967294" count="1" selected="0">
            <x v="1"/>
          </reference>
          <reference field="0" count="1" selected="0">
            <x v="8"/>
          </reference>
          <reference field="1" count="1" selected="0">
            <x v="1"/>
          </reference>
        </references>
      </pivotArea>
    </chartFormat>
    <chartFormat chart="25" format="2287">
      <pivotArea type="data" outline="0" fieldPosition="0">
        <references count="3">
          <reference field="4294967294" count="1" selected="0">
            <x v="1"/>
          </reference>
          <reference field="0" count="1" selected="0">
            <x v="9"/>
          </reference>
          <reference field="1" count="1" selected="0">
            <x v="1"/>
          </reference>
        </references>
      </pivotArea>
    </chartFormat>
    <chartFormat chart="25" format="2288">
      <pivotArea type="data" outline="0" fieldPosition="0">
        <references count="3">
          <reference field="4294967294" count="1" selected="0">
            <x v="1"/>
          </reference>
          <reference field="0" count="1" selected="0">
            <x v="10"/>
          </reference>
          <reference field="1" count="1" selected="0">
            <x v="1"/>
          </reference>
        </references>
      </pivotArea>
    </chartFormat>
    <chartFormat chart="25" format="2289">
      <pivotArea type="data" outline="0" fieldPosition="0">
        <references count="3">
          <reference field="4294967294" count="1" selected="0">
            <x v="1"/>
          </reference>
          <reference field="0" count="1" selected="0">
            <x v="11"/>
          </reference>
          <reference field="1" count="1" selected="0">
            <x v="1"/>
          </reference>
        </references>
      </pivotArea>
    </chartFormat>
    <chartFormat chart="25" format="2290">
      <pivotArea type="data" outline="0" fieldPosition="0">
        <references count="3">
          <reference field="4294967294" count="1" selected="0">
            <x v="1"/>
          </reference>
          <reference field="0" count="1" selected="0">
            <x v="12"/>
          </reference>
          <reference field="1" count="1" selected="0">
            <x v="1"/>
          </reference>
        </references>
      </pivotArea>
    </chartFormat>
    <chartFormat chart="25" format="2291">
      <pivotArea type="data" outline="0" fieldPosition="0">
        <references count="3">
          <reference field="4294967294" count="1" selected="0">
            <x v="1"/>
          </reference>
          <reference field="0" count="1" selected="0">
            <x v="13"/>
          </reference>
          <reference field="1" count="1" selected="0">
            <x v="1"/>
          </reference>
        </references>
      </pivotArea>
    </chartFormat>
    <chartFormat chart="25" format="2292">
      <pivotArea type="data" outline="0" fieldPosition="0">
        <references count="3">
          <reference field="4294967294" count="1" selected="0">
            <x v="1"/>
          </reference>
          <reference field="0" count="1" selected="0">
            <x v="14"/>
          </reference>
          <reference field="1" count="1" selected="0">
            <x v="1"/>
          </reference>
        </references>
      </pivotArea>
    </chartFormat>
    <chartFormat chart="25" format="2293">
      <pivotArea type="data" outline="0" fieldPosition="0">
        <references count="3">
          <reference field="4294967294" count="1" selected="0">
            <x v="1"/>
          </reference>
          <reference field="0" count="1" selected="0">
            <x v="15"/>
          </reference>
          <reference field="1" count="1" selected="0">
            <x v="1"/>
          </reference>
        </references>
      </pivotArea>
    </chartFormat>
    <chartFormat chart="25" format="2294">
      <pivotArea type="data" outline="0" fieldPosition="0">
        <references count="3">
          <reference field="4294967294" count="1" selected="0">
            <x v="1"/>
          </reference>
          <reference field="0" count="1" selected="0">
            <x v="16"/>
          </reference>
          <reference field="1" count="1" selected="0">
            <x v="1"/>
          </reference>
        </references>
      </pivotArea>
    </chartFormat>
    <chartFormat chart="25" format="2295">
      <pivotArea type="data" outline="0" fieldPosition="0">
        <references count="3">
          <reference field="4294967294" count="1" selected="0">
            <x v="1"/>
          </reference>
          <reference field="0" count="1" selected="0">
            <x v="17"/>
          </reference>
          <reference field="1" count="1" selected="0">
            <x v="1"/>
          </reference>
        </references>
      </pivotArea>
    </chartFormat>
    <chartFormat chart="25" format="2296">
      <pivotArea type="data" outline="0" fieldPosition="0">
        <references count="3">
          <reference field="4294967294" count="1" selected="0">
            <x v="1"/>
          </reference>
          <reference field="0" count="1" selected="0">
            <x v="18"/>
          </reference>
          <reference field="1" count="1" selected="0">
            <x v="1"/>
          </reference>
        </references>
      </pivotArea>
    </chartFormat>
    <chartFormat chart="25" format="2297">
      <pivotArea type="data" outline="0" fieldPosition="0">
        <references count="3">
          <reference field="4294967294" count="1" selected="0">
            <x v="1"/>
          </reference>
          <reference field="0" count="1" selected="0">
            <x v="19"/>
          </reference>
          <reference field="1" count="1" selected="0">
            <x v="1"/>
          </reference>
        </references>
      </pivotArea>
    </chartFormat>
    <chartFormat chart="25" format="2298">
      <pivotArea type="data" outline="0" fieldPosition="0">
        <references count="3">
          <reference field="4294967294" count="1" selected="0">
            <x v="1"/>
          </reference>
          <reference field="0" count="1" selected="0">
            <x v="20"/>
          </reference>
          <reference field="1" count="1" selected="0">
            <x v="1"/>
          </reference>
        </references>
      </pivotArea>
    </chartFormat>
    <chartFormat chart="25" format="2299">
      <pivotArea type="data" outline="0" fieldPosition="0">
        <references count="3">
          <reference field="4294967294" count="1" selected="0">
            <x v="1"/>
          </reference>
          <reference field="0" count="1" selected="0">
            <x v="21"/>
          </reference>
          <reference field="1" count="1" selected="0">
            <x v="1"/>
          </reference>
        </references>
      </pivotArea>
    </chartFormat>
    <chartFormat chart="25" format="2300">
      <pivotArea type="data" outline="0" fieldPosition="0">
        <references count="3">
          <reference field="4294967294" count="1" selected="0">
            <x v="1"/>
          </reference>
          <reference field="0" count="1" selected="0">
            <x v="22"/>
          </reference>
          <reference field="1" count="1" selected="0">
            <x v="1"/>
          </reference>
        </references>
      </pivotArea>
    </chartFormat>
    <chartFormat chart="25" format="2301">
      <pivotArea type="data" outline="0" fieldPosition="0">
        <references count="3">
          <reference field="4294967294" count="1" selected="0">
            <x v="1"/>
          </reference>
          <reference field="0" count="1" selected="0">
            <x v="23"/>
          </reference>
          <reference field="1" count="1" selected="0">
            <x v="1"/>
          </reference>
        </references>
      </pivotArea>
    </chartFormat>
    <chartFormat chart="25" format="2302">
      <pivotArea type="data" outline="0" fieldPosition="0">
        <references count="3">
          <reference field="4294967294" count="1" selected="0">
            <x v="1"/>
          </reference>
          <reference field="0" count="1" selected="0">
            <x v="24"/>
          </reference>
          <reference field="1" count="1" selected="0">
            <x v="1"/>
          </reference>
        </references>
      </pivotArea>
    </chartFormat>
    <chartFormat chart="25" format="2303">
      <pivotArea type="data" outline="0" fieldPosition="0">
        <references count="3">
          <reference field="4294967294" count="1" selected="0">
            <x v="1"/>
          </reference>
          <reference field="0" count="1" selected="0">
            <x v="25"/>
          </reference>
          <reference field="1" count="1" selected="0">
            <x v="1"/>
          </reference>
        </references>
      </pivotArea>
    </chartFormat>
    <chartFormat chart="25" format="2304" series="1">
      <pivotArea type="data" outline="0" fieldPosition="0">
        <references count="2">
          <reference field="4294967294" count="1" selected="0">
            <x v="2"/>
          </reference>
          <reference field="1" count="1" selected="0">
            <x v="1"/>
          </reference>
        </references>
      </pivotArea>
    </chartFormat>
    <chartFormat chart="25" format="2305">
      <pivotArea type="data" outline="0" fieldPosition="0">
        <references count="3">
          <reference field="4294967294" count="1" selected="0">
            <x v="2"/>
          </reference>
          <reference field="0" count="1" selected="0">
            <x v="0"/>
          </reference>
          <reference field="1" count="1" selected="0">
            <x v="1"/>
          </reference>
        </references>
      </pivotArea>
    </chartFormat>
    <chartFormat chart="25" format="2306">
      <pivotArea type="data" outline="0" fieldPosition="0">
        <references count="3">
          <reference field="4294967294" count="1" selected="0">
            <x v="2"/>
          </reference>
          <reference field="0" count="1" selected="0">
            <x v="1"/>
          </reference>
          <reference field="1" count="1" selected="0">
            <x v="1"/>
          </reference>
        </references>
      </pivotArea>
    </chartFormat>
    <chartFormat chart="25" format="2307">
      <pivotArea type="data" outline="0" fieldPosition="0">
        <references count="3">
          <reference field="4294967294" count="1" selected="0">
            <x v="2"/>
          </reference>
          <reference field="0" count="1" selected="0">
            <x v="2"/>
          </reference>
          <reference field="1" count="1" selected="0">
            <x v="1"/>
          </reference>
        </references>
      </pivotArea>
    </chartFormat>
    <chartFormat chart="25" format="2308">
      <pivotArea type="data" outline="0" fieldPosition="0">
        <references count="3">
          <reference field="4294967294" count="1" selected="0">
            <x v="2"/>
          </reference>
          <reference field="0" count="1" selected="0">
            <x v="3"/>
          </reference>
          <reference field="1" count="1" selected="0">
            <x v="1"/>
          </reference>
        </references>
      </pivotArea>
    </chartFormat>
    <chartFormat chart="25" format="2309">
      <pivotArea type="data" outline="0" fieldPosition="0">
        <references count="3">
          <reference field="4294967294" count="1" selected="0">
            <x v="2"/>
          </reference>
          <reference field="0" count="1" selected="0">
            <x v="4"/>
          </reference>
          <reference field="1" count="1" selected="0">
            <x v="1"/>
          </reference>
        </references>
      </pivotArea>
    </chartFormat>
    <chartFormat chart="25" format="2310">
      <pivotArea type="data" outline="0" fieldPosition="0">
        <references count="3">
          <reference field="4294967294" count="1" selected="0">
            <x v="2"/>
          </reference>
          <reference field="0" count="1" selected="0">
            <x v="5"/>
          </reference>
          <reference field="1" count="1" selected="0">
            <x v="1"/>
          </reference>
        </references>
      </pivotArea>
    </chartFormat>
    <chartFormat chart="25" format="2311">
      <pivotArea type="data" outline="0" fieldPosition="0">
        <references count="3">
          <reference field="4294967294" count="1" selected="0">
            <x v="2"/>
          </reference>
          <reference field="0" count="1" selected="0">
            <x v="6"/>
          </reference>
          <reference field="1" count="1" selected="0">
            <x v="1"/>
          </reference>
        </references>
      </pivotArea>
    </chartFormat>
    <chartFormat chart="25" format="2312">
      <pivotArea type="data" outline="0" fieldPosition="0">
        <references count="3">
          <reference field="4294967294" count="1" selected="0">
            <x v="2"/>
          </reference>
          <reference field="0" count="1" selected="0">
            <x v="7"/>
          </reference>
          <reference field="1" count="1" selected="0">
            <x v="1"/>
          </reference>
        </references>
      </pivotArea>
    </chartFormat>
    <chartFormat chart="25" format="2313">
      <pivotArea type="data" outline="0" fieldPosition="0">
        <references count="3">
          <reference field="4294967294" count="1" selected="0">
            <x v="2"/>
          </reference>
          <reference field="0" count="1" selected="0">
            <x v="8"/>
          </reference>
          <reference field="1" count="1" selected="0">
            <x v="1"/>
          </reference>
        </references>
      </pivotArea>
    </chartFormat>
    <chartFormat chart="25" format="2314">
      <pivotArea type="data" outline="0" fieldPosition="0">
        <references count="3">
          <reference field="4294967294" count="1" selected="0">
            <x v="2"/>
          </reference>
          <reference field="0" count="1" selected="0">
            <x v="9"/>
          </reference>
          <reference field="1" count="1" selected="0">
            <x v="1"/>
          </reference>
        </references>
      </pivotArea>
    </chartFormat>
    <chartFormat chart="25" format="2315">
      <pivotArea type="data" outline="0" fieldPosition="0">
        <references count="3">
          <reference field="4294967294" count="1" selected="0">
            <x v="2"/>
          </reference>
          <reference field="0" count="1" selected="0">
            <x v="10"/>
          </reference>
          <reference field="1" count="1" selected="0">
            <x v="1"/>
          </reference>
        </references>
      </pivotArea>
    </chartFormat>
    <chartFormat chart="25" format="2316">
      <pivotArea type="data" outline="0" fieldPosition="0">
        <references count="3">
          <reference field="4294967294" count="1" selected="0">
            <x v="2"/>
          </reference>
          <reference field="0" count="1" selected="0">
            <x v="11"/>
          </reference>
          <reference field="1" count="1" selected="0">
            <x v="1"/>
          </reference>
        </references>
      </pivotArea>
    </chartFormat>
    <chartFormat chart="25" format="2317">
      <pivotArea type="data" outline="0" fieldPosition="0">
        <references count="3">
          <reference field="4294967294" count="1" selected="0">
            <x v="2"/>
          </reference>
          <reference field="0" count="1" selected="0">
            <x v="12"/>
          </reference>
          <reference field="1" count="1" selected="0">
            <x v="1"/>
          </reference>
        </references>
      </pivotArea>
    </chartFormat>
    <chartFormat chart="25" format="2318">
      <pivotArea type="data" outline="0" fieldPosition="0">
        <references count="3">
          <reference field="4294967294" count="1" selected="0">
            <x v="2"/>
          </reference>
          <reference field="0" count="1" selected="0">
            <x v="13"/>
          </reference>
          <reference field="1" count="1" selected="0">
            <x v="1"/>
          </reference>
        </references>
      </pivotArea>
    </chartFormat>
    <chartFormat chart="25" format="2319">
      <pivotArea type="data" outline="0" fieldPosition="0">
        <references count="3">
          <reference field="4294967294" count="1" selected="0">
            <x v="2"/>
          </reference>
          <reference field="0" count="1" selected="0">
            <x v="14"/>
          </reference>
          <reference field="1" count="1" selected="0">
            <x v="1"/>
          </reference>
        </references>
      </pivotArea>
    </chartFormat>
    <chartFormat chart="25" format="2320">
      <pivotArea type="data" outline="0" fieldPosition="0">
        <references count="3">
          <reference field="4294967294" count="1" selected="0">
            <x v="2"/>
          </reference>
          <reference field="0" count="1" selected="0">
            <x v="15"/>
          </reference>
          <reference field="1" count="1" selected="0">
            <x v="1"/>
          </reference>
        </references>
      </pivotArea>
    </chartFormat>
    <chartFormat chart="25" format="2321">
      <pivotArea type="data" outline="0" fieldPosition="0">
        <references count="3">
          <reference field="4294967294" count="1" selected="0">
            <x v="2"/>
          </reference>
          <reference field="0" count="1" selected="0">
            <x v="16"/>
          </reference>
          <reference field="1" count="1" selected="0">
            <x v="1"/>
          </reference>
        </references>
      </pivotArea>
    </chartFormat>
    <chartFormat chart="25" format="2322">
      <pivotArea type="data" outline="0" fieldPosition="0">
        <references count="3">
          <reference field="4294967294" count="1" selected="0">
            <x v="2"/>
          </reference>
          <reference field="0" count="1" selected="0">
            <x v="17"/>
          </reference>
          <reference field="1" count="1" selected="0">
            <x v="1"/>
          </reference>
        </references>
      </pivotArea>
    </chartFormat>
    <chartFormat chart="25" format="2323">
      <pivotArea type="data" outline="0" fieldPosition="0">
        <references count="3">
          <reference field="4294967294" count="1" selected="0">
            <x v="2"/>
          </reference>
          <reference field="0" count="1" selected="0">
            <x v="18"/>
          </reference>
          <reference field="1" count="1" selected="0">
            <x v="1"/>
          </reference>
        </references>
      </pivotArea>
    </chartFormat>
    <chartFormat chart="25" format="2324">
      <pivotArea type="data" outline="0" fieldPosition="0">
        <references count="3">
          <reference field="4294967294" count="1" selected="0">
            <x v="2"/>
          </reference>
          <reference field="0" count="1" selected="0">
            <x v="19"/>
          </reference>
          <reference field="1" count="1" selected="0">
            <x v="1"/>
          </reference>
        </references>
      </pivotArea>
    </chartFormat>
    <chartFormat chart="25" format="2325">
      <pivotArea type="data" outline="0" fieldPosition="0">
        <references count="3">
          <reference field="4294967294" count="1" selected="0">
            <x v="2"/>
          </reference>
          <reference field="0" count="1" selected="0">
            <x v="20"/>
          </reference>
          <reference field="1" count="1" selected="0">
            <x v="1"/>
          </reference>
        </references>
      </pivotArea>
    </chartFormat>
    <chartFormat chart="25" format="2326">
      <pivotArea type="data" outline="0" fieldPosition="0">
        <references count="3">
          <reference field="4294967294" count="1" selected="0">
            <x v="2"/>
          </reference>
          <reference field="0" count="1" selected="0">
            <x v="21"/>
          </reference>
          <reference field="1" count="1" selected="0">
            <x v="1"/>
          </reference>
        </references>
      </pivotArea>
    </chartFormat>
    <chartFormat chart="25" format="2327">
      <pivotArea type="data" outline="0" fieldPosition="0">
        <references count="3">
          <reference field="4294967294" count="1" selected="0">
            <x v="2"/>
          </reference>
          <reference field="0" count="1" selected="0">
            <x v="22"/>
          </reference>
          <reference field="1" count="1" selected="0">
            <x v="1"/>
          </reference>
        </references>
      </pivotArea>
    </chartFormat>
    <chartFormat chart="25" format="2328">
      <pivotArea type="data" outline="0" fieldPosition="0">
        <references count="3">
          <reference field="4294967294" count="1" selected="0">
            <x v="2"/>
          </reference>
          <reference field="0" count="1" selected="0">
            <x v="23"/>
          </reference>
          <reference field="1" count="1" selected="0">
            <x v="1"/>
          </reference>
        </references>
      </pivotArea>
    </chartFormat>
    <chartFormat chart="25" format="2329">
      <pivotArea type="data" outline="0" fieldPosition="0">
        <references count="3">
          <reference field="4294967294" count="1" selected="0">
            <x v="2"/>
          </reference>
          <reference field="0" count="1" selected="0">
            <x v="24"/>
          </reference>
          <reference field="1" count="1" selected="0">
            <x v="1"/>
          </reference>
        </references>
      </pivotArea>
    </chartFormat>
    <chartFormat chart="25" format="2330">
      <pivotArea type="data" outline="0" fieldPosition="0">
        <references count="3">
          <reference field="4294967294" count="1" selected="0">
            <x v="2"/>
          </reference>
          <reference field="0" count="1" selected="0">
            <x v="25"/>
          </reference>
          <reference field="1" count="1" selected="0">
            <x v="1"/>
          </reference>
        </references>
      </pivotArea>
    </chartFormat>
    <chartFormat chart="25" format="2331" series="1">
      <pivotArea type="data" outline="0" fieldPosition="0">
        <references count="2">
          <reference field="4294967294" count="1" selected="0">
            <x v="3"/>
          </reference>
          <reference field="1" count="1" selected="0">
            <x v="1"/>
          </reference>
        </references>
      </pivotArea>
    </chartFormat>
    <chartFormat chart="25" format="2332">
      <pivotArea type="data" outline="0" fieldPosition="0">
        <references count="3">
          <reference field="4294967294" count="1" selected="0">
            <x v="3"/>
          </reference>
          <reference field="0" count="1" selected="0">
            <x v="0"/>
          </reference>
          <reference field="1" count="1" selected="0">
            <x v="1"/>
          </reference>
        </references>
      </pivotArea>
    </chartFormat>
    <chartFormat chart="25" format="2333">
      <pivotArea type="data" outline="0" fieldPosition="0">
        <references count="3">
          <reference field="4294967294" count="1" selected="0">
            <x v="3"/>
          </reference>
          <reference field="0" count="1" selected="0">
            <x v="1"/>
          </reference>
          <reference field="1" count="1" selected="0">
            <x v="1"/>
          </reference>
        </references>
      </pivotArea>
    </chartFormat>
    <chartFormat chart="25" format="2334">
      <pivotArea type="data" outline="0" fieldPosition="0">
        <references count="3">
          <reference field="4294967294" count="1" selected="0">
            <x v="3"/>
          </reference>
          <reference field="0" count="1" selected="0">
            <x v="2"/>
          </reference>
          <reference field="1" count="1" selected="0">
            <x v="1"/>
          </reference>
        </references>
      </pivotArea>
    </chartFormat>
    <chartFormat chart="25" format="2335">
      <pivotArea type="data" outline="0" fieldPosition="0">
        <references count="3">
          <reference field="4294967294" count="1" selected="0">
            <x v="3"/>
          </reference>
          <reference field="0" count="1" selected="0">
            <x v="3"/>
          </reference>
          <reference field="1" count="1" selected="0">
            <x v="1"/>
          </reference>
        </references>
      </pivotArea>
    </chartFormat>
    <chartFormat chart="25" format="2336">
      <pivotArea type="data" outline="0" fieldPosition="0">
        <references count="3">
          <reference field="4294967294" count="1" selected="0">
            <x v="3"/>
          </reference>
          <reference field="0" count="1" selected="0">
            <x v="4"/>
          </reference>
          <reference field="1" count="1" selected="0">
            <x v="1"/>
          </reference>
        </references>
      </pivotArea>
    </chartFormat>
    <chartFormat chart="25" format="2337">
      <pivotArea type="data" outline="0" fieldPosition="0">
        <references count="3">
          <reference field="4294967294" count="1" selected="0">
            <x v="3"/>
          </reference>
          <reference field="0" count="1" selected="0">
            <x v="5"/>
          </reference>
          <reference field="1" count="1" selected="0">
            <x v="1"/>
          </reference>
        </references>
      </pivotArea>
    </chartFormat>
    <chartFormat chart="25" format="2338">
      <pivotArea type="data" outline="0" fieldPosition="0">
        <references count="3">
          <reference field="4294967294" count="1" selected="0">
            <x v="3"/>
          </reference>
          <reference field="0" count="1" selected="0">
            <x v="6"/>
          </reference>
          <reference field="1" count="1" selected="0">
            <x v="1"/>
          </reference>
        </references>
      </pivotArea>
    </chartFormat>
    <chartFormat chart="25" format="2339">
      <pivotArea type="data" outline="0" fieldPosition="0">
        <references count="3">
          <reference field="4294967294" count="1" selected="0">
            <x v="3"/>
          </reference>
          <reference field="0" count="1" selected="0">
            <x v="7"/>
          </reference>
          <reference field="1" count="1" selected="0">
            <x v="1"/>
          </reference>
        </references>
      </pivotArea>
    </chartFormat>
    <chartFormat chart="25" format="2340">
      <pivotArea type="data" outline="0" fieldPosition="0">
        <references count="3">
          <reference field="4294967294" count="1" selected="0">
            <x v="3"/>
          </reference>
          <reference field="0" count="1" selected="0">
            <x v="8"/>
          </reference>
          <reference field="1" count="1" selected="0">
            <x v="1"/>
          </reference>
        </references>
      </pivotArea>
    </chartFormat>
    <chartFormat chart="25" format="2341">
      <pivotArea type="data" outline="0" fieldPosition="0">
        <references count="3">
          <reference field="4294967294" count="1" selected="0">
            <x v="3"/>
          </reference>
          <reference field="0" count="1" selected="0">
            <x v="9"/>
          </reference>
          <reference field="1" count="1" selected="0">
            <x v="1"/>
          </reference>
        </references>
      </pivotArea>
    </chartFormat>
    <chartFormat chart="25" format="2342">
      <pivotArea type="data" outline="0" fieldPosition="0">
        <references count="3">
          <reference field="4294967294" count="1" selected="0">
            <x v="3"/>
          </reference>
          <reference field="0" count="1" selected="0">
            <x v="10"/>
          </reference>
          <reference field="1" count="1" selected="0">
            <x v="1"/>
          </reference>
        </references>
      </pivotArea>
    </chartFormat>
    <chartFormat chart="25" format="2343">
      <pivotArea type="data" outline="0" fieldPosition="0">
        <references count="3">
          <reference field="4294967294" count="1" selected="0">
            <x v="3"/>
          </reference>
          <reference field="0" count="1" selected="0">
            <x v="11"/>
          </reference>
          <reference field="1" count="1" selected="0">
            <x v="1"/>
          </reference>
        </references>
      </pivotArea>
    </chartFormat>
    <chartFormat chart="25" format="2344">
      <pivotArea type="data" outline="0" fieldPosition="0">
        <references count="3">
          <reference field="4294967294" count="1" selected="0">
            <x v="3"/>
          </reference>
          <reference field="0" count="1" selected="0">
            <x v="12"/>
          </reference>
          <reference field="1" count="1" selected="0">
            <x v="1"/>
          </reference>
        </references>
      </pivotArea>
    </chartFormat>
    <chartFormat chart="25" format="2345">
      <pivotArea type="data" outline="0" fieldPosition="0">
        <references count="3">
          <reference field="4294967294" count="1" selected="0">
            <x v="3"/>
          </reference>
          <reference field="0" count="1" selected="0">
            <x v="13"/>
          </reference>
          <reference field="1" count="1" selected="0">
            <x v="1"/>
          </reference>
        </references>
      </pivotArea>
    </chartFormat>
    <chartFormat chart="25" format="2346">
      <pivotArea type="data" outline="0" fieldPosition="0">
        <references count="3">
          <reference field="4294967294" count="1" selected="0">
            <x v="3"/>
          </reference>
          <reference field="0" count="1" selected="0">
            <x v="14"/>
          </reference>
          <reference field="1" count="1" selected="0">
            <x v="1"/>
          </reference>
        </references>
      </pivotArea>
    </chartFormat>
    <chartFormat chart="25" format="2347">
      <pivotArea type="data" outline="0" fieldPosition="0">
        <references count="3">
          <reference field="4294967294" count="1" selected="0">
            <x v="3"/>
          </reference>
          <reference field="0" count="1" selected="0">
            <x v="15"/>
          </reference>
          <reference field="1" count="1" selected="0">
            <x v="1"/>
          </reference>
        </references>
      </pivotArea>
    </chartFormat>
    <chartFormat chart="25" format="2348">
      <pivotArea type="data" outline="0" fieldPosition="0">
        <references count="3">
          <reference field="4294967294" count="1" selected="0">
            <x v="3"/>
          </reference>
          <reference field="0" count="1" selected="0">
            <x v="16"/>
          </reference>
          <reference field="1" count="1" selected="0">
            <x v="1"/>
          </reference>
        </references>
      </pivotArea>
    </chartFormat>
    <chartFormat chart="25" format="2349">
      <pivotArea type="data" outline="0" fieldPosition="0">
        <references count="3">
          <reference field="4294967294" count="1" selected="0">
            <x v="3"/>
          </reference>
          <reference field="0" count="1" selected="0">
            <x v="17"/>
          </reference>
          <reference field="1" count="1" selected="0">
            <x v="1"/>
          </reference>
        </references>
      </pivotArea>
    </chartFormat>
    <chartFormat chart="25" format="2350">
      <pivotArea type="data" outline="0" fieldPosition="0">
        <references count="3">
          <reference field="4294967294" count="1" selected="0">
            <x v="3"/>
          </reference>
          <reference field="0" count="1" selected="0">
            <x v="18"/>
          </reference>
          <reference field="1" count="1" selected="0">
            <x v="1"/>
          </reference>
        </references>
      </pivotArea>
    </chartFormat>
    <chartFormat chart="25" format="2351">
      <pivotArea type="data" outline="0" fieldPosition="0">
        <references count="3">
          <reference field="4294967294" count="1" selected="0">
            <x v="3"/>
          </reference>
          <reference field="0" count="1" selected="0">
            <x v="19"/>
          </reference>
          <reference field="1" count="1" selected="0">
            <x v="1"/>
          </reference>
        </references>
      </pivotArea>
    </chartFormat>
    <chartFormat chart="25" format="2352">
      <pivotArea type="data" outline="0" fieldPosition="0">
        <references count="3">
          <reference field="4294967294" count="1" selected="0">
            <x v="3"/>
          </reference>
          <reference field="0" count="1" selected="0">
            <x v="20"/>
          </reference>
          <reference field="1" count="1" selected="0">
            <x v="1"/>
          </reference>
        </references>
      </pivotArea>
    </chartFormat>
    <chartFormat chart="25" format="2353">
      <pivotArea type="data" outline="0" fieldPosition="0">
        <references count="3">
          <reference field="4294967294" count="1" selected="0">
            <x v="3"/>
          </reference>
          <reference field="0" count="1" selected="0">
            <x v="21"/>
          </reference>
          <reference field="1" count="1" selected="0">
            <x v="1"/>
          </reference>
        </references>
      </pivotArea>
    </chartFormat>
    <chartFormat chart="25" format="2354">
      <pivotArea type="data" outline="0" fieldPosition="0">
        <references count="3">
          <reference field="4294967294" count="1" selected="0">
            <x v="3"/>
          </reference>
          <reference field="0" count="1" selected="0">
            <x v="22"/>
          </reference>
          <reference field="1" count="1" selected="0">
            <x v="1"/>
          </reference>
        </references>
      </pivotArea>
    </chartFormat>
    <chartFormat chart="25" format="2355">
      <pivotArea type="data" outline="0" fieldPosition="0">
        <references count="3">
          <reference field="4294967294" count="1" selected="0">
            <x v="3"/>
          </reference>
          <reference field="0" count="1" selected="0">
            <x v="23"/>
          </reference>
          <reference field="1" count="1" selected="0">
            <x v="1"/>
          </reference>
        </references>
      </pivotArea>
    </chartFormat>
    <chartFormat chart="25" format="2356">
      <pivotArea type="data" outline="0" fieldPosition="0">
        <references count="3">
          <reference field="4294967294" count="1" selected="0">
            <x v="3"/>
          </reference>
          <reference field="0" count="1" selected="0">
            <x v="24"/>
          </reference>
          <reference field="1" count="1" selected="0">
            <x v="1"/>
          </reference>
        </references>
      </pivotArea>
    </chartFormat>
    <chartFormat chart="25" format="2357">
      <pivotArea type="data" outline="0" fieldPosition="0">
        <references count="3">
          <reference field="4294967294" count="1" selected="0">
            <x v="3"/>
          </reference>
          <reference field="0" count="1" selected="0">
            <x v="25"/>
          </reference>
          <reference field="1" count="1" selected="0">
            <x v="1"/>
          </reference>
        </references>
      </pivotArea>
    </chartFormat>
    <chartFormat chart="25" format="2358" series="1">
      <pivotArea type="data" outline="0" fieldPosition="0">
        <references count="2">
          <reference field="4294967294" count="1" selected="0">
            <x v="4"/>
          </reference>
          <reference field="1" count="1" selected="0">
            <x v="1"/>
          </reference>
        </references>
      </pivotArea>
    </chartFormat>
    <chartFormat chart="25" format="2359">
      <pivotArea type="data" outline="0" fieldPosition="0">
        <references count="3">
          <reference field="4294967294" count="1" selected="0">
            <x v="4"/>
          </reference>
          <reference field="0" count="1" selected="0">
            <x v="0"/>
          </reference>
          <reference field="1" count="1" selected="0">
            <x v="1"/>
          </reference>
        </references>
      </pivotArea>
    </chartFormat>
    <chartFormat chart="25" format="2360">
      <pivotArea type="data" outline="0" fieldPosition="0">
        <references count="3">
          <reference field="4294967294" count="1" selected="0">
            <x v="4"/>
          </reference>
          <reference field="0" count="1" selected="0">
            <x v="1"/>
          </reference>
          <reference field="1" count="1" selected="0">
            <x v="1"/>
          </reference>
        </references>
      </pivotArea>
    </chartFormat>
    <chartFormat chart="25" format="2361">
      <pivotArea type="data" outline="0" fieldPosition="0">
        <references count="3">
          <reference field="4294967294" count="1" selected="0">
            <x v="4"/>
          </reference>
          <reference field="0" count="1" selected="0">
            <x v="2"/>
          </reference>
          <reference field="1" count="1" selected="0">
            <x v="1"/>
          </reference>
        </references>
      </pivotArea>
    </chartFormat>
    <chartFormat chart="25" format="2362">
      <pivotArea type="data" outline="0" fieldPosition="0">
        <references count="3">
          <reference field="4294967294" count="1" selected="0">
            <x v="4"/>
          </reference>
          <reference field="0" count="1" selected="0">
            <x v="3"/>
          </reference>
          <reference field="1" count="1" selected="0">
            <x v="1"/>
          </reference>
        </references>
      </pivotArea>
    </chartFormat>
    <chartFormat chart="25" format="2363">
      <pivotArea type="data" outline="0" fieldPosition="0">
        <references count="3">
          <reference field="4294967294" count="1" selected="0">
            <x v="4"/>
          </reference>
          <reference field="0" count="1" selected="0">
            <x v="4"/>
          </reference>
          <reference field="1" count="1" selected="0">
            <x v="1"/>
          </reference>
        </references>
      </pivotArea>
    </chartFormat>
    <chartFormat chart="25" format="2364">
      <pivotArea type="data" outline="0" fieldPosition="0">
        <references count="3">
          <reference field="4294967294" count="1" selected="0">
            <x v="4"/>
          </reference>
          <reference field="0" count="1" selected="0">
            <x v="5"/>
          </reference>
          <reference field="1" count="1" selected="0">
            <x v="1"/>
          </reference>
        </references>
      </pivotArea>
    </chartFormat>
    <chartFormat chart="25" format="2365">
      <pivotArea type="data" outline="0" fieldPosition="0">
        <references count="3">
          <reference field="4294967294" count="1" selected="0">
            <x v="4"/>
          </reference>
          <reference field="0" count="1" selected="0">
            <x v="6"/>
          </reference>
          <reference field="1" count="1" selected="0">
            <x v="1"/>
          </reference>
        </references>
      </pivotArea>
    </chartFormat>
    <chartFormat chart="25" format="2366">
      <pivotArea type="data" outline="0" fieldPosition="0">
        <references count="3">
          <reference field="4294967294" count="1" selected="0">
            <x v="4"/>
          </reference>
          <reference field="0" count="1" selected="0">
            <x v="7"/>
          </reference>
          <reference field="1" count="1" selected="0">
            <x v="1"/>
          </reference>
        </references>
      </pivotArea>
    </chartFormat>
    <chartFormat chart="25" format="2367">
      <pivotArea type="data" outline="0" fieldPosition="0">
        <references count="3">
          <reference field="4294967294" count="1" selected="0">
            <x v="4"/>
          </reference>
          <reference field="0" count="1" selected="0">
            <x v="8"/>
          </reference>
          <reference field="1" count="1" selected="0">
            <x v="1"/>
          </reference>
        </references>
      </pivotArea>
    </chartFormat>
    <chartFormat chart="25" format="2368">
      <pivotArea type="data" outline="0" fieldPosition="0">
        <references count="3">
          <reference field="4294967294" count="1" selected="0">
            <x v="4"/>
          </reference>
          <reference field="0" count="1" selected="0">
            <x v="9"/>
          </reference>
          <reference field="1" count="1" selected="0">
            <x v="1"/>
          </reference>
        </references>
      </pivotArea>
    </chartFormat>
    <chartFormat chart="25" format="2369">
      <pivotArea type="data" outline="0" fieldPosition="0">
        <references count="3">
          <reference field="4294967294" count="1" selected="0">
            <x v="4"/>
          </reference>
          <reference field="0" count="1" selected="0">
            <x v="10"/>
          </reference>
          <reference field="1" count="1" selected="0">
            <x v="1"/>
          </reference>
        </references>
      </pivotArea>
    </chartFormat>
    <chartFormat chart="25" format="2370">
      <pivotArea type="data" outline="0" fieldPosition="0">
        <references count="3">
          <reference field="4294967294" count="1" selected="0">
            <x v="4"/>
          </reference>
          <reference field="0" count="1" selected="0">
            <x v="11"/>
          </reference>
          <reference field="1" count="1" selected="0">
            <x v="1"/>
          </reference>
        </references>
      </pivotArea>
    </chartFormat>
    <chartFormat chart="25" format="2371">
      <pivotArea type="data" outline="0" fieldPosition="0">
        <references count="3">
          <reference field="4294967294" count="1" selected="0">
            <x v="4"/>
          </reference>
          <reference field="0" count="1" selected="0">
            <x v="12"/>
          </reference>
          <reference field="1" count="1" selected="0">
            <x v="1"/>
          </reference>
        </references>
      </pivotArea>
    </chartFormat>
    <chartFormat chart="25" format="2372">
      <pivotArea type="data" outline="0" fieldPosition="0">
        <references count="3">
          <reference field="4294967294" count="1" selected="0">
            <x v="4"/>
          </reference>
          <reference field="0" count="1" selected="0">
            <x v="13"/>
          </reference>
          <reference field="1" count="1" selected="0">
            <x v="1"/>
          </reference>
        </references>
      </pivotArea>
    </chartFormat>
    <chartFormat chart="25" format="2373">
      <pivotArea type="data" outline="0" fieldPosition="0">
        <references count="3">
          <reference field="4294967294" count="1" selected="0">
            <x v="4"/>
          </reference>
          <reference field="0" count="1" selected="0">
            <x v="14"/>
          </reference>
          <reference field="1" count="1" selected="0">
            <x v="1"/>
          </reference>
        </references>
      </pivotArea>
    </chartFormat>
    <chartFormat chart="25" format="2374">
      <pivotArea type="data" outline="0" fieldPosition="0">
        <references count="3">
          <reference field="4294967294" count="1" selected="0">
            <x v="4"/>
          </reference>
          <reference field="0" count="1" selected="0">
            <x v="15"/>
          </reference>
          <reference field="1" count="1" selected="0">
            <x v="1"/>
          </reference>
        </references>
      </pivotArea>
    </chartFormat>
    <chartFormat chart="25" format="2375">
      <pivotArea type="data" outline="0" fieldPosition="0">
        <references count="3">
          <reference field="4294967294" count="1" selected="0">
            <x v="4"/>
          </reference>
          <reference field="0" count="1" selected="0">
            <x v="16"/>
          </reference>
          <reference field="1" count="1" selected="0">
            <x v="1"/>
          </reference>
        </references>
      </pivotArea>
    </chartFormat>
    <chartFormat chart="25" format="2376">
      <pivotArea type="data" outline="0" fieldPosition="0">
        <references count="3">
          <reference field="4294967294" count="1" selected="0">
            <x v="4"/>
          </reference>
          <reference field="0" count="1" selected="0">
            <x v="17"/>
          </reference>
          <reference field="1" count="1" selected="0">
            <x v="1"/>
          </reference>
        </references>
      </pivotArea>
    </chartFormat>
    <chartFormat chart="25" format="2377">
      <pivotArea type="data" outline="0" fieldPosition="0">
        <references count="3">
          <reference field="4294967294" count="1" selected="0">
            <x v="4"/>
          </reference>
          <reference field="0" count="1" selected="0">
            <x v="18"/>
          </reference>
          <reference field="1" count="1" selected="0">
            <x v="1"/>
          </reference>
        </references>
      </pivotArea>
    </chartFormat>
    <chartFormat chart="25" format="2378">
      <pivotArea type="data" outline="0" fieldPosition="0">
        <references count="3">
          <reference field="4294967294" count="1" selected="0">
            <x v="4"/>
          </reference>
          <reference field="0" count="1" selected="0">
            <x v="19"/>
          </reference>
          <reference field="1" count="1" selected="0">
            <x v="1"/>
          </reference>
        </references>
      </pivotArea>
    </chartFormat>
    <chartFormat chart="25" format="2379">
      <pivotArea type="data" outline="0" fieldPosition="0">
        <references count="3">
          <reference field="4294967294" count="1" selected="0">
            <x v="4"/>
          </reference>
          <reference field="0" count="1" selected="0">
            <x v="20"/>
          </reference>
          <reference field="1" count="1" selected="0">
            <x v="1"/>
          </reference>
        </references>
      </pivotArea>
    </chartFormat>
    <chartFormat chart="25" format="2380">
      <pivotArea type="data" outline="0" fieldPosition="0">
        <references count="3">
          <reference field="4294967294" count="1" selected="0">
            <x v="4"/>
          </reference>
          <reference field="0" count="1" selected="0">
            <x v="21"/>
          </reference>
          <reference field="1" count="1" selected="0">
            <x v="1"/>
          </reference>
        </references>
      </pivotArea>
    </chartFormat>
    <chartFormat chart="25" format="2381">
      <pivotArea type="data" outline="0" fieldPosition="0">
        <references count="3">
          <reference field="4294967294" count="1" selected="0">
            <x v="4"/>
          </reference>
          <reference field="0" count="1" selected="0">
            <x v="22"/>
          </reference>
          <reference field="1" count="1" selected="0">
            <x v="1"/>
          </reference>
        </references>
      </pivotArea>
    </chartFormat>
    <chartFormat chart="25" format="2382">
      <pivotArea type="data" outline="0" fieldPosition="0">
        <references count="3">
          <reference field="4294967294" count="1" selected="0">
            <x v="4"/>
          </reference>
          <reference field="0" count="1" selected="0">
            <x v="23"/>
          </reference>
          <reference field="1" count="1" selected="0">
            <x v="1"/>
          </reference>
        </references>
      </pivotArea>
    </chartFormat>
    <chartFormat chart="25" format="2383">
      <pivotArea type="data" outline="0" fieldPosition="0">
        <references count="3">
          <reference field="4294967294" count="1" selected="0">
            <x v="4"/>
          </reference>
          <reference field="0" count="1" selected="0">
            <x v="24"/>
          </reference>
          <reference field="1" count="1" selected="0">
            <x v="1"/>
          </reference>
        </references>
      </pivotArea>
    </chartFormat>
    <chartFormat chart="25" format="2384">
      <pivotArea type="data" outline="0" fieldPosition="0">
        <references count="3">
          <reference field="4294967294" count="1" selected="0">
            <x v="4"/>
          </reference>
          <reference field="0" count="1" selected="0">
            <x v="25"/>
          </reference>
          <reference field="1" count="1" selected="0">
            <x v="1"/>
          </reference>
        </references>
      </pivotArea>
    </chartFormat>
    <chartFormat chart="25" format="2385" series="1">
      <pivotArea type="data" outline="0" fieldPosition="0">
        <references count="2">
          <reference field="4294967294" count="1" selected="0">
            <x v="0"/>
          </reference>
          <reference field="1" count="1" selected="0">
            <x v="2"/>
          </reference>
        </references>
      </pivotArea>
    </chartFormat>
    <chartFormat chart="25" format="2386">
      <pivotArea type="data" outline="0" fieldPosition="0">
        <references count="3">
          <reference field="4294967294" count="1" selected="0">
            <x v="0"/>
          </reference>
          <reference field="0" count="1" selected="0">
            <x v="0"/>
          </reference>
          <reference field="1" count="1" selected="0">
            <x v="2"/>
          </reference>
        </references>
      </pivotArea>
    </chartFormat>
    <chartFormat chart="25" format="2387">
      <pivotArea type="data" outline="0" fieldPosition="0">
        <references count="3">
          <reference field="4294967294" count="1" selected="0">
            <x v="0"/>
          </reference>
          <reference field="0" count="1" selected="0">
            <x v="1"/>
          </reference>
          <reference field="1" count="1" selected="0">
            <x v="2"/>
          </reference>
        </references>
      </pivotArea>
    </chartFormat>
    <chartFormat chart="25" format="2388">
      <pivotArea type="data" outline="0" fieldPosition="0">
        <references count="3">
          <reference field="4294967294" count="1" selected="0">
            <x v="0"/>
          </reference>
          <reference field="0" count="1" selected="0">
            <x v="2"/>
          </reference>
          <reference field="1" count="1" selected="0">
            <x v="2"/>
          </reference>
        </references>
      </pivotArea>
    </chartFormat>
    <chartFormat chart="25" format="2389">
      <pivotArea type="data" outline="0" fieldPosition="0">
        <references count="3">
          <reference field="4294967294" count="1" selected="0">
            <x v="0"/>
          </reference>
          <reference field="0" count="1" selected="0">
            <x v="3"/>
          </reference>
          <reference field="1" count="1" selected="0">
            <x v="2"/>
          </reference>
        </references>
      </pivotArea>
    </chartFormat>
    <chartFormat chart="25" format="2390">
      <pivotArea type="data" outline="0" fieldPosition="0">
        <references count="3">
          <reference field="4294967294" count="1" selected="0">
            <x v="0"/>
          </reference>
          <reference field="0" count="1" selected="0">
            <x v="4"/>
          </reference>
          <reference field="1" count="1" selected="0">
            <x v="2"/>
          </reference>
        </references>
      </pivotArea>
    </chartFormat>
    <chartFormat chart="25" format="2391">
      <pivotArea type="data" outline="0" fieldPosition="0">
        <references count="3">
          <reference field="4294967294" count="1" selected="0">
            <x v="0"/>
          </reference>
          <reference field="0" count="1" selected="0">
            <x v="5"/>
          </reference>
          <reference field="1" count="1" selected="0">
            <x v="2"/>
          </reference>
        </references>
      </pivotArea>
    </chartFormat>
    <chartFormat chart="25" format="2392">
      <pivotArea type="data" outline="0" fieldPosition="0">
        <references count="3">
          <reference field="4294967294" count="1" selected="0">
            <x v="0"/>
          </reference>
          <reference field="0" count="1" selected="0">
            <x v="6"/>
          </reference>
          <reference field="1" count="1" selected="0">
            <x v="2"/>
          </reference>
        </references>
      </pivotArea>
    </chartFormat>
    <chartFormat chart="25" format="2393">
      <pivotArea type="data" outline="0" fieldPosition="0">
        <references count="3">
          <reference field="4294967294" count="1" selected="0">
            <x v="0"/>
          </reference>
          <reference field="0" count="1" selected="0">
            <x v="7"/>
          </reference>
          <reference field="1" count="1" selected="0">
            <x v="2"/>
          </reference>
        </references>
      </pivotArea>
    </chartFormat>
    <chartFormat chart="25" format="2394">
      <pivotArea type="data" outline="0" fieldPosition="0">
        <references count="3">
          <reference field="4294967294" count="1" selected="0">
            <x v="0"/>
          </reference>
          <reference field="0" count="1" selected="0">
            <x v="8"/>
          </reference>
          <reference field="1" count="1" selected="0">
            <x v="2"/>
          </reference>
        </references>
      </pivotArea>
    </chartFormat>
    <chartFormat chart="25" format="2395">
      <pivotArea type="data" outline="0" fieldPosition="0">
        <references count="3">
          <reference field="4294967294" count="1" selected="0">
            <x v="0"/>
          </reference>
          <reference field="0" count="1" selected="0">
            <x v="9"/>
          </reference>
          <reference field="1" count="1" selected="0">
            <x v="2"/>
          </reference>
        </references>
      </pivotArea>
    </chartFormat>
    <chartFormat chart="25" format="2396">
      <pivotArea type="data" outline="0" fieldPosition="0">
        <references count="3">
          <reference field="4294967294" count="1" selected="0">
            <x v="0"/>
          </reference>
          <reference field="0" count="1" selected="0">
            <x v="10"/>
          </reference>
          <reference field="1" count="1" selected="0">
            <x v="2"/>
          </reference>
        </references>
      </pivotArea>
    </chartFormat>
    <chartFormat chart="25" format="2397">
      <pivotArea type="data" outline="0" fieldPosition="0">
        <references count="3">
          <reference field="4294967294" count="1" selected="0">
            <x v="0"/>
          </reference>
          <reference field="0" count="1" selected="0">
            <x v="11"/>
          </reference>
          <reference field="1" count="1" selected="0">
            <x v="2"/>
          </reference>
        </references>
      </pivotArea>
    </chartFormat>
    <chartFormat chart="25" format="2398">
      <pivotArea type="data" outline="0" fieldPosition="0">
        <references count="3">
          <reference field="4294967294" count="1" selected="0">
            <x v="0"/>
          </reference>
          <reference field="0" count="1" selected="0">
            <x v="12"/>
          </reference>
          <reference field="1" count="1" selected="0">
            <x v="2"/>
          </reference>
        </references>
      </pivotArea>
    </chartFormat>
    <chartFormat chart="25" format="2399">
      <pivotArea type="data" outline="0" fieldPosition="0">
        <references count="3">
          <reference field="4294967294" count="1" selected="0">
            <x v="0"/>
          </reference>
          <reference field="0" count="1" selected="0">
            <x v="13"/>
          </reference>
          <reference field="1" count="1" selected="0">
            <x v="2"/>
          </reference>
        </references>
      </pivotArea>
    </chartFormat>
    <chartFormat chart="25" format="2400">
      <pivotArea type="data" outline="0" fieldPosition="0">
        <references count="3">
          <reference field="4294967294" count="1" selected="0">
            <x v="0"/>
          </reference>
          <reference field="0" count="1" selected="0">
            <x v="14"/>
          </reference>
          <reference field="1" count="1" selected="0">
            <x v="2"/>
          </reference>
        </references>
      </pivotArea>
    </chartFormat>
    <chartFormat chart="25" format="2401">
      <pivotArea type="data" outline="0" fieldPosition="0">
        <references count="3">
          <reference field="4294967294" count="1" selected="0">
            <x v="0"/>
          </reference>
          <reference field="0" count="1" selected="0">
            <x v="15"/>
          </reference>
          <reference field="1" count="1" selected="0">
            <x v="2"/>
          </reference>
        </references>
      </pivotArea>
    </chartFormat>
    <chartFormat chart="25" format="2402">
      <pivotArea type="data" outline="0" fieldPosition="0">
        <references count="3">
          <reference field="4294967294" count="1" selected="0">
            <x v="0"/>
          </reference>
          <reference field="0" count="1" selected="0">
            <x v="16"/>
          </reference>
          <reference field="1" count="1" selected="0">
            <x v="2"/>
          </reference>
        </references>
      </pivotArea>
    </chartFormat>
    <chartFormat chart="25" format="2403">
      <pivotArea type="data" outline="0" fieldPosition="0">
        <references count="3">
          <reference field="4294967294" count="1" selected="0">
            <x v="0"/>
          </reference>
          <reference field="0" count="1" selected="0">
            <x v="17"/>
          </reference>
          <reference field="1" count="1" selected="0">
            <x v="2"/>
          </reference>
        </references>
      </pivotArea>
    </chartFormat>
    <chartFormat chart="25" format="2404">
      <pivotArea type="data" outline="0" fieldPosition="0">
        <references count="3">
          <reference field="4294967294" count="1" selected="0">
            <x v="0"/>
          </reference>
          <reference field="0" count="1" selected="0">
            <x v="18"/>
          </reference>
          <reference field="1" count="1" selected="0">
            <x v="2"/>
          </reference>
        </references>
      </pivotArea>
    </chartFormat>
    <chartFormat chart="25" format="2405">
      <pivotArea type="data" outline="0" fieldPosition="0">
        <references count="3">
          <reference field="4294967294" count="1" selected="0">
            <x v="0"/>
          </reference>
          <reference field="0" count="1" selected="0">
            <x v="19"/>
          </reference>
          <reference field="1" count="1" selected="0">
            <x v="2"/>
          </reference>
        </references>
      </pivotArea>
    </chartFormat>
    <chartFormat chart="25" format="2406">
      <pivotArea type="data" outline="0" fieldPosition="0">
        <references count="3">
          <reference field="4294967294" count="1" selected="0">
            <x v="0"/>
          </reference>
          <reference field="0" count="1" selected="0">
            <x v="20"/>
          </reference>
          <reference field="1" count="1" selected="0">
            <x v="2"/>
          </reference>
        </references>
      </pivotArea>
    </chartFormat>
    <chartFormat chart="25" format="2407">
      <pivotArea type="data" outline="0" fieldPosition="0">
        <references count="3">
          <reference field="4294967294" count="1" selected="0">
            <x v="0"/>
          </reference>
          <reference field="0" count="1" selected="0">
            <x v="21"/>
          </reference>
          <reference field="1" count="1" selected="0">
            <x v="2"/>
          </reference>
        </references>
      </pivotArea>
    </chartFormat>
    <chartFormat chart="25" format="2408">
      <pivotArea type="data" outline="0" fieldPosition="0">
        <references count="3">
          <reference field="4294967294" count="1" selected="0">
            <x v="0"/>
          </reference>
          <reference field="0" count="1" selected="0">
            <x v="22"/>
          </reference>
          <reference field="1" count="1" selected="0">
            <x v="2"/>
          </reference>
        </references>
      </pivotArea>
    </chartFormat>
    <chartFormat chart="25" format="2409">
      <pivotArea type="data" outline="0" fieldPosition="0">
        <references count="3">
          <reference field="4294967294" count="1" selected="0">
            <x v="0"/>
          </reference>
          <reference field="0" count="1" selected="0">
            <x v="23"/>
          </reference>
          <reference field="1" count="1" selected="0">
            <x v="2"/>
          </reference>
        </references>
      </pivotArea>
    </chartFormat>
    <chartFormat chart="25" format="2410">
      <pivotArea type="data" outline="0" fieldPosition="0">
        <references count="3">
          <reference field="4294967294" count="1" selected="0">
            <x v="0"/>
          </reference>
          <reference field="0" count="1" selected="0">
            <x v="24"/>
          </reference>
          <reference field="1" count="1" selected="0">
            <x v="2"/>
          </reference>
        </references>
      </pivotArea>
    </chartFormat>
    <chartFormat chart="25" format="2411">
      <pivotArea type="data" outline="0" fieldPosition="0">
        <references count="3">
          <reference field="4294967294" count="1" selected="0">
            <x v="0"/>
          </reference>
          <reference field="0" count="1" selected="0">
            <x v="25"/>
          </reference>
          <reference field="1" count="1" selected="0">
            <x v="2"/>
          </reference>
        </references>
      </pivotArea>
    </chartFormat>
    <chartFormat chart="25" format="2412" series="1">
      <pivotArea type="data" outline="0" fieldPosition="0">
        <references count="2">
          <reference field="4294967294" count="1" selected="0">
            <x v="1"/>
          </reference>
          <reference field="1" count="1" selected="0">
            <x v="2"/>
          </reference>
        </references>
      </pivotArea>
    </chartFormat>
    <chartFormat chart="25" format="2413">
      <pivotArea type="data" outline="0" fieldPosition="0">
        <references count="3">
          <reference field="4294967294" count="1" selected="0">
            <x v="1"/>
          </reference>
          <reference field="0" count="1" selected="0">
            <x v="0"/>
          </reference>
          <reference field="1" count="1" selected="0">
            <x v="2"/>
          </reference>
        </references>
      </pivotArea>
    </chartFormat>
    <chartFormat chart="25" format="2414">
      <pivotArea type="data" outline="0" fieldPosition="0">
        <references count="3">
          <reference field="4294967294" count="1" selected="0">
            <x v="1"/>
          </reference>
          <reference field="0" count="1" selected="0">
            <x v="1"/>
          </reference>
          <reference field="1" count="1" selected="0">
            <x v="2"/>
          </reference>
        </references>
      </pivotArea>
    </chartFormat>
    <chartFormat chart="25" format="2415">
      <pivotArea type="data" outline="0" fieldPosition="0">
        <references count="3">
          <reference field="4294967294" count="1" selected="0">
            <x v="1"/>
          </reference>
          <reference field="0" count="1" selected="0">
            <x v="2"/>
          </reference>
          <reference field="1" count="1" selected="0">
            <x v="2"/>
          </reference>
        </references>
      </pivotArea>
    </chartFormat>
    <chartFormat chart="25" format="2416">
      <pivotArea type="data" outline="0" fieldPosition="0">
        <references count="3">
          <reference field="4294967294" count="1" selected="0">
            <x v="1"/>
          </reference>
          <reference field="0" count="1" selected="0">
            <x v="3"/>
          </reference>
          <reference field="1" count="1" selected="0">
            <x v="2"/>
          </reference>
        </references>
      </pivotArea>
    </chartFormat>
    <chartFormat chart="25" format="2417">
      <pivotArea type="data" outline="0" fieldPosition="0">
        <references count="3">
          <reference field="4294967294" count="1" selected="0">
            <x v="1"/>
          </reference>
          <reference field="0" count="1" selected="0">
            <x v="4"/>
          </reference>
          <reference field="1" count="1" selected="0">
            <x v="2"/>
          </reference>
        </references>
      </pivotArea>
    </chartFormat>
    <chartFormat chart="25" format="2418">
      <pivotArea type="data" outline="0" fieldPosition="0">
        <references count="3">
          <reference field="4294967294" count="1" selected="0">
            <x v="1"/>
          </reference>
          <reference field="0" count="1" selected="0">
            <x v="5"/>
          </reference>
          <reference field="1" count="1" selected="0">
            <x v="2"/>
          </reference>
        </references>
      </pivotArea>
    </chartFormat>
    <chartFormat chart="25" format="2419">
      <pivotArea type="data" outline="0" fieldPosition="0">
        <references count="3">
          <reference field="4294967294" count="1" selected="0">
            <x v="1"/>
          </reference>
          <reference field="0" count="1" selected="0">
            <x v="6"/>
          </reference>
          <reference field="1" count="1" selected="0">
            <x v="2"/>
          </reference>
        </references>
      </pivotArea>
    </chartFormat>
    <chartFormat chart="25" format="2420">
      <pivotArea type="data" outline="0" fieldPosition="0">
        <references count="3">
          <reference field="4294967294" count="1" selected="0">
            <x v="1"/>
          </reference>
          <reference field="0" count="1" selected="0">
            <x v="7"/>
          </reference>
          <reference field="1" count="1" selected="0">
            <x v="2"/>
          </reference>
        </references>
      </pivotArea>
    </chartFormat>
    <chartFormat chart="25" format="2421">
      <pivotArea type="data" outline="0" fieldPosition="0">
        <references count="3">
          <reference field="4294967294" count="1" selected="0">
            <x v="1"/>
          </reference>
          <reference field="0" count="1" selected="0">
            <x v="8"/>
          </reference>
          <reference field="1" count="1" selected="0">
            <x v="2"/>
          </reference>
        </references>
      </pivotArea>
    </chartFormat>
    <chartFormat chart="25" format="2422">
      <pivotArea type="data" outline="0" fieldPosition="0">
        <references count="3">
          <reference field="4294967294" count="1" selected="0">
            <x v="1"/>
          </reference>
          <reference field="0" count="1" selected="0">
            <x v="9"/>
          </reference>
          <reference field="1" count="1" selected="0">
            <x v="2"/>
          </reference>
        </references>
      </pivotArea>
    </chartFormat>
    <chartFormat chart="25" format="2423">
      <pivotArea type="data" outline="0" fieldPosition="0">
        <references count="3">
          <reference field="4294967294" count="1" selected="0">
            <x v="1"/>
          </reference>
          <reference field="0" count="1" selected="0">
            <x v="10"/>
          </reference>
          <reference field="1" count="1" selected="0">
            <x v="2"/>
          </reference>
        </references>
      </pivotArea>
    </chartFormat>
    <chartFormat chart="25" format="2424">
      <pivotArea type="data" outline="0" fieldPosition="0">
        <references count="3">
          <reference field="4294967294" count="1" selected="0">
            <x v="1"/>
          </reference>
          <reference field="0" count="1" selected="0">
            <x v="11"/>
          </reference>
          <reference field="1" count="1" selected="0">
            <x v="2"/>
          </reference>
        </references>
      </pivotArea>
    </chartFormat>
    <chartFormat chart="25" format="2425">
      <pivotArea type="data" outline="0" fieldPosition="0">
        <references count="3">
          <reference field="4294967294" count="1" selected="0">
            <x v="1"/>
          </reference>
          <reference field="0" count="1" selected="0">
            <x v="12"/>
          </reference>
          <reference field="1" count="1" selected="0">
            <x v="2"/>
          </reference>
        </references>
      </pivotArea>
    </chartFormat>
    <chartFormat chart="25" format="2426">
      <pivotArea type="data" outline="0" fieldPosition="0">
        <references count="3">
          <reference field="4294967294" count="1" selected="0">
            <x v="1"/>
          </reference>
          <reference field="0" count="1" selected="0">
            <x v="13"/>
          </reference>
          <reference field="1" count="1" selected="0">
            <x v="2"/>
          </reference>
        </references>
      </pivotArea>
    </chartFormat>
    <chartFormat chart="25" format="2427">
      <pivotArea type="data" outline="0" fieldPosition="0">
        <references count="3">
          <reference field="4294967294" count="1" selected="0">
            <x v="1"/>
          </reference>
          <reference field="0" count="1" selected="0">
            <x v="14"/>
          </reference>
          <reference field="1" count="1" selected="0">
            <x v="2"/>
          </reference>
        </references>
      </pivotArea>
    </chartFormat>
    <chartFormat chart="25" format="2428">
      <pivotArea type="data" outline="0" fieldPosition="0">
        <references count="3">
          <reference field="4294967294" count="1" selected="0">
            <x v="1"/>
          </reference>
          <reference field="0" count="1" selected="0">
            <x v="15"/>
          </reference>
          <reference field="1" count="1" selected="0">
            <x v="2"/>
          </reference>
        </references>
      </pivotArea>
    </chartFormat>
    <chartFormat chart="25" format="2429">
      <pivotArea type="data" outline="0" fieldPosition="0">
        <references count="3">
          <reference field="4294967294" count="1" selected="0">
            <x v="1"/>
          </reference>
          <reference field="0" count="1" selected="0">
            <x v="16"/>
          </reference>
          <reference field="1" count="1" selected="0">
            <x v="2"/>
          </reference>
        </references>
      </pivotArea>
    </chartFormat>
    <chartFormat chart="25" format="2430">
      <pivotArea type="data" outline="0" fieldPosition="0">
        <references count="3">
          <reference field="4294967294" count="1" selected="0">
            <x v="1"/>
          </reference>
          <reference field="0" count="1" selected="0">
            <x v="17"/>
          </reference>
          <reference field="1" count="1" selected="0">
            <x v="2"/>
          </reference>
        </references>
      </pivotArea>
    </chartFormat>
    <chartFormat chart="25" format="2431">
      <pivotArea type="data" outline="0" fieldPosition="0">
        <references count="3">
          <reference field="4294967294" count="1" selected="0">
            <x v="1"/>
          </reference>
          <reference field="0" count="1" selected="0">
            <x v="18"/>
          </reference>
          <reference field="1" count="1" selected="0">
            <x v="2"/>
          </reference>
        </references>
      </pivotArea>
    </chartFormat>
    <chartFormat chart="25" format="2432">
      <pivotArea type="data" outline="0" fieldPosition="0">
        <references count="3">
          <reference field="4294967294" count="1" selected="0">
            <x v="1"/>
          </reference>
          <reference field="0" count="1" selected="0">
            <x v="19"/>
          </reference>
          <reference field="1" count="1" selected="0">
            <x v="2"/>
          </reference>
        </references>
      </pivotArea>
    </chartFormat>
    <chartFormat chart="25" format="2433">
      <pivotArea type="data" outline="0" fieldPosition="0">
        <references count="3">
          <reference field="4294967294" count="1" selected="0">
            <x v="1"/>
          </reference>
          <reference field="0" count="1" selected="0">
            <x v="20"/>
          </reference>
          <reference field="1" count="1" selected="0">
            <x v="2"/>
          </reference>
        </references>
      </pivotArea>
    </chartFormat>
    <chartFormat chart="25" format="2434">
      <pivotArea type="data" outline="0" fieldPosition="0">
        <references count="3">
          <reference field="4294967294" count="1" selected="0">
            <x v="1"/>
          </reference>
          <reference field="0" count="1" selected="0">
            <x v="21"/>
          </reference>
          <reference field="1" count="1" selected="0">
            <x v="2"/>
          </reference>
        </references>
      </pivotArea>
    </chartFormat>
    <chartFormat chart="25" format="2435">
      <pivotArea type="data" outline="0" fieldPosition="0">
        <references count="3">
          <reference field="4294967294" count="1" selected="0">
            <x v="1"/>
          </reference>
          <reference field="0" count="1" selected="0">
            <x v="22"/>
          </reference>
          <reference field="1" count="1" selected="0">
            <x v="2"/>
          </reference>
        </references>
      </pivotArea>
    </chartFormat>
    <chartFormat chart="25" format="2436">
      <pivotArea type="data" outline="0" fieldPosition="0">
        <references count="3">
          <reference field="4294967294" count="1" selected="0">
            <x v="1"/>
          </reference>
          <reference field="0" count="1" selected="0">
            <x v="23"/>
          </reference>
          <reference field="1" count="1" selected="0">
            <x v="2"/>
          </reference>
        </references>
      </pivotArea>
    </chartFormat>
    <chartFormat chart="25" format="2437">
      <pivotArea type="data" outline="0" fieldPosition="0">
        <references count="3">
          <reference field="4294967294" count="1" selected="0">
            <x v="1"/>
          </reference>
          <reference field="0" count="1" selected="0">
            <x v="24"/>
          </reference>
          <reference field="1" count="1" selected="0">
            <x v="2"/>
          </reference>
        </references>
      </pivotArea>
    </chartFormat>
    <chartFormat chart="25" format="2438">
      <pivotArea type="data" outline="0" fieldPosition="0">
        <references count="3">
          <reference field="4294967294" count="1" selected="0">
            <x v="1"/>
          </reference>
          <reference field="0" count="1" selected="0">
            <x v="25"/>
          </reference>
          <reference field="1" count="1" selected="0">
            <x v="2"/>
          </reference>
        </references>
      </pivotArea>
    </chartFormat>
    <chartFormat chart="25" format="2439" series="1">
      <pivotArea type="data" outline="0" fieldPosition="0">
        <references count="2">
          <reference field="4294967294" count="1" selected="0">
            <x v="2"/>
          </reference>
          <reference field="1" count="1" selected="0">
            <x v="2"/>
          </reference>
        </references>
      </pivotArea>
    </chartFormat>
    <chartFormat chart="25" format="2440">
      <pivotArea type="data" outline="0" fieldPosition="0">
        <references count="3">
          <reference field="4294967294" count="1" selected="0">
            <x v="2"/>
          </reference>
          <reference field="0" count="1" selected="0">
            <x v="0"/>
          </reference>
          <reference field="1" count="1" selected="0">
            <x v="2"/>
          </reference>
        </references>
      </pivotArea>
    </chartFormat>
    <chartFormat chart="25" format="2441">
      <pivotArea type="data" outline="0" fieldPosition="0">
        <references count="3">
          <reference field="4294967294" count="1" selected="0">
            <x v="2"/>
          </reference>
          <reference field="0" count="1" selected="0">
            <x v="1"/>
          </reference>
          <reference field="1" count="1" selected="0">
            <x v="2"/>
          </reference>
        </references>
      </pivotArea>
    </chartFormat>
    <chartFormat chart="25" format="2442">
      <pivotArea type="data" outline="0" fieldPosition="0">
        <references count="3">
          <reference field="4294967294" count="1" selected="0">
            <x v="2"/>
          </reference>
          <reference field="0" count="1" selected="0">
            <x v="2"/>
          </reference>
          <reference field="1" count="1" selected="0">
            <x v="2"/>
          </reference>
        </references>
      </pivotArea>
    </chartFormat>
    <chartFormat chart="25" format="2443">
      <pivotArea type="data" outline="0" fieldPosition="0">
        <references count="3">
          <reference field="4294967294" count="1" selected="0">
            <x v="2"/>
          </reference>
          <reference field="0" count="1" selected="0">
            <x v="3"/>
          </reference>
          <reference field="1" count="1" selected="0">
            <x v="2"/>
          </reference>
        </references>
      </pivotArea>
    </chartFormat>
    <chartFormat chart="25" format="2444">
      <pivotArea type="data" outline="0" fieldPosition="0">
        <references count="3">
          <reference field="4294967294" count="1" selected="0">
            <x v="2"/>
          </reference>
          <reference field="0" count="1" selected="0">
            <x v="4"/>
          </reference>
          <reference field="1" count="1" selected="0">
            <x v="2"/>
          </reference>
        </references>
      </pivotArea>
    </chartFormat>
    <chartFormat chart="25" format="2445">
      <pivotArea type="data" outline="0" fieldPosition="0">
        <references count="3">
          <reference field="4294967294" count="1" selected="0">
            <x v="2"/>
          </reference>
          <reference field="0" count="1" selected="0">
            <x v="5"/>
          </reference>
          <reference field="1" count="1" selected="0">
            <x v="2"/>
          </reference>
        </references>
      </pivotArea>
    </chartFormat>
    <chartFormat chart="25" format="2446">
      <pivotArea type="data" outline="0" fieldPosition="0">
        <references count="3">
          <reference field="4294967294" count="1" selected="0">
            <x v="2"/>
          </reference>
          <reference field="0" count="1" selected="0">
            <x v="6"/>
          </reference>
          <reference field="1" count="1" selected="0">
            <x v="2"/>
          </reference>
        </references>
      </pivotArea>
    </chartFormat>
    <chartFormat chart="25" format="2447">
      <pivotArea type="data" outline="0" fieldPosition="0">
        <references count="3">
          <reference field="4294967294" count="1" selected="0">
            <x v="2"/>
          </reference>
          <reference field="0" count="1" selected="0">
            <x v="7"/>
          </reference>
          <reference field="1" count="1" selected="0">
            <x v="2"/>
          </reference>
        </references>
      </pivotArea>
    </chartFormat>
    <chartFormat chart="25" format="2448">
      <pivotArea type="data" outline="0" fieldPosition="0">
        <references count="3">
          <reference field="4294967294" count="1" selected="0">
            <x v="2"/>
          </reference>
          <reference field="0" count="1" selected="0">
            <x v="8"/>
          </reference>
          <reference field="1" count="1" selected="0">
            <x v="2"/>
          </reference>
        </references>
      </pivotArea>
    </chartFormat>
    <chartFormat chart="25" format="2449">
      <pivotArea type="data" outline="0" fieldPosition="0">
        <references count="3">
          <reference field="4294967294" count="1" selected="0">
            <x v="2"/>
          </reference>
          <reference field="0" count="1" selected="0">
            <x v="9"/>
          </reference>
          <reference field="1" count="1" selected="0">
            <x v="2"/>
          </reference>
        </references>
      </pivotArea>
    </chartFormat>
    <chartFormat chart="25" format="2450">
      <pivotArea type="data" outline="0" fieldPosition="0">
        <references count="3">
          <reference field="4294967294" count="1" selected="0">
            <x v="2"/>
          </reference>
          <reference field="0" count="1" selected="0">
            <x v="10"/>
          </reference>
          <reference field="1" count="1" selected="0">
            <x v="2"/>
          </reference>
        </references>
      </pivotArea>
    </chartFormat>
    <chartFormat chart="25" format="2451">
      <pivotArea type="data" outline="0" fieldPosition="0">
        <references count="3">
          <reference field="4294967294" count="1" selected="0">
            <x v="2"/>
          </reference>
          <reference field="0" count="1" selected="0">
            <x v="11"/>
          </reference>
          <reference field="1" count="1" selected="0">
            <x v="2"/>
          </reference>
        </references>
      </pivotArea>
    </chartFormat>
    <chartFormat chart="25" format="2452">
      <pivotArea type="data" outline="0" fieldPosition="0">
        <references count="3">
          <reference field="4294967294" count="1" selected="0">
            <x v="2"/>
          </reference>
          <reference field="0" count="1" selected="0">
            <x v="12"/>
          </reference>
          <reference field="1" count="1" selected="0">
            <x v="2"/>
          </reference>
        </references>
      </pivotArea>
    </chartFormat>
    <chartFormat chart="25" format="2453">
      <pivotArea type="data" outline="0" fieldPosition="0">
        <references count="3">
          <reference field="4294967294" count="1" selected="0">
            <x v="2"/>
          </reference>
          <reference field="0" count="1" selected="0">
            <x v="13"/>
          </reference>
          <reference field="1" count="1" selected="0">
            <x v="2"/>
          </reference>
        </references>
      </pivotArea>
    </chartFormat>
    <chartFormat chart="25" format="2454">
      <pivotArea type="data" outline="0" fieldPosition="0">
        <references count="3">
          <reference field="4294967294" count="1" selected="0">
            <x v="2"/>
          </reference>
          <reference field="0" count="1" selected="0">
            <x v="14"/>
          </reference>
          <reference field="1" count="1" selected="0">
            <x v="2"/>
          </reference>
        </references>
      </pivotArea>
    </chartFormat>
    <chartFormat chart="25" format="2455">
      <pivotArea type="data" outline="0" fieldPosition="0">
        <references count="3">
          <reference field="4294967294" count="1" selected="0">
            <x v="2"/>
          </reference>
          <reference field="0" count="1" selected="0">
            <x v="15"/>
          </reference>
          <reference field="1" count="1" selected="0">
            <x v="2"/>
          </reference>
        </references>
      </pivotArea>
    </chartFormat>
    <chartFormat chart="25" format="2456">
      <pivotArea type="data" outline="0" fieldPosition="0">
        <references count="3">
          <reference field="4294967294" count="1" selected="0">
            <x v="2"/>
          </reference>
          <reference field="0" count="1" selected="0">
            <x v="16"/>
          </reference>
          <reference field="1" count="1" selected="0">
            <x v="2"/>
          </reference>
        </references>
      </pivotArea>
    </chartFormat>
    <chartFormat chart="25" format="2457">
      <pivotArea type="data" outline="0" fieldPosition="0">
        <references count="3">
          <reference field="4294967294" count="1" selected="0">
            <x v="2"/>
          </reference>
          <reference field="0" count="1" selected="0">
            <x v="17"/>
          </reference>
          <reference field="1" count="1" selected="0">
            <x v="2"/>
          </reference>
        </references>
      </pivotArea>
    </chartFormat>
    <chartFormat chart="25" format="2458">
      <pivotArea type="data" outline="0" fieldPosition="0">
        <references count="3">
          <reference field="4294967294" count="1" selected="0">
            <x v="2"/>
          </reference>
          <reference field="0" count="1" selected="0">
            <x v="18"/>
          </reference>
          <reference field="1" count="1" selected="0">
            <x v="2"/>
          </reference>
        </references>
      </pivotArea>
    </chartFormat>
    <chartFormat chart="25" format="2459">
      <pivotArea type="data" outline="0" fieldPosition="0">
        <references count="3">
          <reference field="4294967294" count="1" selected="0">
            <x v="2"/>
          </reference>
          <reference field="0" count="1" selected="0">
            <x v="19"/>
          </reference>
          <reference field="1" count="1" selected="0">
            <x v="2"/>
          </reference>
        </references>
      </pivotArea>
    </chartFormat>
    <chartFormat chart="25" format="2460">
      <pivotArea type="data" outline="0" fieldPosition="0">
        <references count="3">
          <reference field="4294967294" count="1" selected="0">
            <x v="2"/>
          </reference>
          <reference field="0" count="1" selected="0">
            <x v="20"/>
          </reference>
          <reference field="1" count="1" selected="0">
            <x v="2"/>
          </reference>
        </references>
      </pivotArea>
    </chartFormat>
    <chartFormat chart="25" format="2461">
      <pivotArea type="data" outline="0" fieldPosition="0">
        <references count="3">
          <reference field="4294967294" count="1" selected="0">
            <x v="2"/>
          </reference>
          <reference field="0" count="1" selected="0">
            <x v="21"/>
          </reference>
          <reference field="1" count="1" selected="0">
            <x v="2"/>
          </reference>
        </references>
      </pivotArea>
    </chartFormat>
    <chartFormat chart="25" format="2462">
      <pivotArea type="data" outline="0" fieldPosition="0">
        <references count="3">
          <reference field="4294967294" count="1" selected="0">
            <x v="2"/>
          </reference>
          <reference field="0" count="1" selected="0">
            <x v="22"/>
          </reference>
          <reference field="1" count="1" selected="0">
            <x v="2"/>
          </reference>
        </references>
      </pivotArea>
    </chartFormat>
    <chartFormat chart="25" format="2463">
      <pivotArea type="data" outline="0" fieldPosition="0">
        <references count="3">
          <reference field="4294967294" count="1" selected="0">
            <x v="2"/>
          </reference>
          <reference field="0" count="1" selected="0">
            <x v="23"/>
          </reference>
          <reference field="1" count="1" selected="0">
            <x v="2"/>
          </reference>
        </references>
      </pivotArea>
    </chartFormat>
    <chartFormat chart="25" format="2464">
      <pivotArea type="data" outline="0" fieldPosition="0">
        <references count="3">
          <reference field="4294967294" count="1" selected="0">
            <x v="2"/>
          </reference>
          <reference field="0" count="1" selected="0">
            <x v="24"/>
          </reference>
          <reference field="1" count="1" selected="0">
            <x v="2"/>
          </reference>
        </references>
      </pivotArea>
    </chartFormat>
    <chartFormat chart="25" format="2465">
      <pivotArea type="data" outline="0" fieldPosition="0">
        <references count="3">
          <reference field="4294967294" count="1" selected="0">
            <x v="2"/>
          </reference>
          <reference field="0" count="1" selected="0">
            <x v="25"/>
          </reference>
          <reference field="1" count="1" selected="0">
            <x v="2"/>
          </reference>
        </references>
      </pivotArea>
    </chartFormat>
    <chartFormat chart="25" format="2466" series="1">
      <pivotArea type="data" outline="0" fieldPosition="0">
        <references count="2">
          <reference field="4294967294" count="1" selected="0">
            <x v="3"/>
          </reference>
          <reference field="1" count="1" selected="0">
            <x v="2"/>
          </reference>
        </references>
      </pivotArea>
    </chartFormat>
    <chartFormat chart="25" format="2467">
      <pivotArea type="data" outline="0" fieldPosition="0">
        <references count="3">
          <reference field="4294967294" count="1" selected="0">
            <x v="3"/>
          </reference>
          <reference field="0" count="1" selected="0">
            <x v="0"/>
          </reference>
          <reference field="1" count="1" selected="0">
            <x v="2"/>
          </reference>
        </references>
      </pivotArea>
    </chartFormat>
    <chartFormat chart="25" format="2468">
      <pivotArea type="data" outline="0" fieldPosition="0">
        <references count="3">
          <reference field="4294967294" count="1" selected="0">
            <x v="3"/>
          </reference>
          <reference field="0" count="1" selected="0">
            <x v="1"/>
          </reference>
          <reference field="1" count="1" selected="0">
            <x v="2"/>
          </reference>
        </references>
      </pivotArea>
    </chartFormat>
    <chartFormat chart="25" format="2469">
      <pivotArea type="data" outline="0" fieldPosition="0">
        <references count="3">
          <reference field="4294967294" count="1" selected="0">
            <x v="3"/>
          </reference>
          <reference field="0" count="1" selected="0">
            <x v="2"/>
          </reference>
          <reference field="1" count="1" selected="0">
            <x v="2"/>
          </reference>
        </references>
      </pivotArea>
    </chartFormat>
    <chartFormat chart="25" format="2470">
      <pivotArea type="data" outline="0" fieldPosition="0">
        <references count="3">
          <reference field="4294967294" count="1" selected="0">
            <x v="3"/>
          </reference>
          <reference field="0" count="1" selected="0">
            <x v="3"/>
          </reference>
          <reference field="1" count="1" selected="0">
            <x v="2"/>
          </reference>
        </references>
      </pivotArea>
    </chartFormat>
    <chartFormat chart="25" format="2471">
      <pivotArea type="data" outline="0" fieldPosition="0">
        <references count="3">
          <reference field="4294967294" count="1" selected="0">
            <x v="3"/>
          </reference>
          <reference field="0" count="1" selected="0">
            <x v="4"/>
          </reference>
          <reference field="1" count="1" selected="0">
            <x v="2"/>
          </reference>
        </references>
      </pivotArea>
    </chartFormat>
    <chartFormat chart="25" format="2472">
      <pivotArea type="data" outline="0" fieldPosition="0">
        <references count="3">
          <reference field="4294967294" count="1" selected="0">
            <x v="3"/>
          </reference>
          <reference field="0" count="1" selected="0">
            <x v="5"/>
          </reference>
          <reference field="1" count="1" selected="0">
            <x v="2"/>
          </reference>
        </references>
      </pivotArea>
    </chartFormat>
    <chartFormat chart="25" format="2473">
      <pivotArea type="data" outline="0" fieldPosition="0">
        <references count="3">
          <reference field="4294967294" count="1" selected="0">
            <x v="3"/>
          </reference>
          <reference field="0" count="1" selected="0">
            <x v="6"/>
          </reference>
          <reference field="1" count="1" selected="0">
            <x v="2"/>
          </reference>
        </references>
      </pivotArea>
    </chartFormat>
    <chartFormat chart="25" format="2474">
      <pivotArea type="data" outline="0" fieldPosition="0">
        <references count="3">
          <reference field="4294967294" count="1" selected="0">
            <x v="3"/>
          </reference>
          <reference field="0" count="1" selected="0">
            <x v="7"/>
          </reference>
          <reference field="1" count="1" selected="0">
            <x v="2"/>
          </reference>
        </references>
      </pivotArea>
    </chartFormat>
    <chartFormat chart="25" format="2475">
      <pivotArea type="data" outline="0" fieldPosition="0">
        <references count="3">
          <reference field="4294967294" count="1" selected="0">
            <x v="3"/>
          </reference>
          <reference field="0" count="1" selected="0">
            <x v="8"/>
          </reference>
          <reference field="1" count="1" selected="0">
            <x v="2"/>
          </reference>
        </references>
      </pivotArea>
    </chartFormat>
    <chartFormat chart="25" format="2476">
      <pivotArea type="data" outline="0" fieldPosition="0">
        <references count="3">
          <reference field="4294967294" count="1" selected="0">
            <x v="3"/>
          </reference>
          <reference field="0" count="1" selected="0">
            <x v="9"/>
          </reference>
          <reference field="1" count="1" selected="0">
            <x v="2"/>
          </reference>
        </references>
      </pivotArea>
    </chartFormat>
    <chartFormat chart="25" format="2477">
      <pivotArea type="data" outline="0" fieldPosition="0">
        <references count="3">
          <reference field="4294967294" count="1" selected="0">
            <x v="3"/>
          </reference>
          <reference field="0" count="1" selected="0">
            <x v="10"/>
          </reference>
          <reference field="1" count="1" selected="0">
            <x v="2"/>
          </reference>
        </references>
      </pivotArea>
    </chartFormat>
    <chartFormat chart="25" format="2478">
      <pivotArea type="data" outline="0" fieldPosition="0">
        <references count="3">
          <reference field="4294967294" count="1" selected="0">
            <x v="3"/>
          </reference>
          <reference field="0" count="1" selected="0">
            <x v="11"/>
          </reference>
          <reference field="1" count="1" selected="0">
            <x v="2"/>
          </reference>
        </references>
      </pivotArea>
    </chartFormat>
    <chartFormat chart="25" format="2479">
      <pivotArea type="data" outline="0" fieldPosition="0">
        <references count="3">
          <reference field="4294967294" count="1" selected="0">
            <x v="3"/>
          </reference>
          <reference field="0" count="1" selected="0">
            <x v="12"/>
          </reference>
          <reference field="1" count="1" selected="0">
            <x v="2"/>
          </reference>
        </references>
      </pivotArea>
    </chartFormat>
    <chartFormat chart="25" format="2480">
      <pivotArea type="data" outline="0" fieldPosition="0">
        <references count="3">
          <reference field="4294967294" count="1" selected="0">
            <x v="3"/>
          </reference>
          <reference field="0" count="1" selected="0">
            <x v="13"/>
          </reference>
          <reference field="1" count="1" selected="0">
            <x v="2"/>
          </reference>
        </references>
      </pivotArea>
    </chartFormat>
    <chartFormat chart="25" format="2481">
      <pivotArea type="data" outline="0" fieldPosition="0">
        <references count="3">
          <reference field="4294967294" count="1" selected="0">
            <x v="3"/>
          </reference>
          <reference field="0" count="1" selected="0">
            <x v="14"/>
          </reference>
          <reference field="1" count="1" selected="0">
            <x v="2"/>
          </reference>
        </references>
      </pivotArea>
    </chartFormat>
    <chartFormat chart="25" format="2482">
      <pivotArea type="data" outline="0" fieldPosition="0">
        <references count="3">
          <reference field="4294967294" count="1" selected="0">
            <x v="3"/>
          </reference>
          <reference field="0" count="1" selected="0">
            <x v="15"/>
          </reference>
          <reference field="1" count="1" selected="0">
            <x v="2"/>
          </reference>
        </references>
      </pivotArea>
    </chartFormat>
    <chartFormat chart="25" format="2483">
      <pivotArea type="data" outline="0" fieldPosition="0">
        <references count="3">
          <reference field="4294967294" count="1" selected="0">
            <x v="3"/>
          </reference>
          <reference field="0" count="1" selected="0">
            <x v="16"/>
          </reference>
          <reference field="1" count="1" selected="0">
            <x v="2"/>
          </reference>
        </references>
      </pivotArea>
    </chartFormat>
    <chartFormat chart="25" format="2484">
      <pivotArea type="data" outline="0" fieldPosition="0">
        <references count="3">
          <reference field="4294967294" count="1" selected="0">
            <x v="3"/>
          </reference>
          <reference field="0" count="1" selected="0">
            <x v="17"/>
          </reference>
          <reference field="1" count="1" selected="0">
            <x v="2"/>
          </reference>
        </references>
      </pivotArea>
    </chartFormat>
    <chartFormat chart="25" format="2485">
      <pivotArea type="data" outline="0" fieldPosition="0">
        <references count="3">
          <reference field="4294967294" count="1" selected="0">
            <x v="3"/>
          </reference>
          <reference field="0" count="1" selected="0">
            <x v="18"/>
          </reference>
          <reference field="1" count="1" selected="0">
            <x v="2"/>
          </reference>
        </references>
      </pivotArea>
    </chartFormat>
    <chartFormat chart="25" format="2486">
      <pivotArea type="data" outline="0" fieldPosition="0">
        <references count="3">
          <reference field="4294967294" count="1" selected="0">
            <x v="3"/>
          </reference>
          <reference field="0" count="1" selected="0">
            <x v="19"/>
          </reference>
          <reference field="1" count="1" selected="0">
            <x v="2"/>
          </reference>
        </references>
      </pivotArea>
    </chartFormat>
    <chartFormat chart="25" format="2487">
      <pivotArea type="data" outline="0" fieldPosition="0">
        <references count="3">
          <reference field="4294967294" count="1" selected="0">
            <x v="3"/>
          </reference>
          <reference field="0" count="1" selected="0">
            <x v="20"/>
          </reference>
          <reference field="1" count="1" selected="0">
            <x v="2"/>
          </reference>
        </references>
      </pivotArea>
    </chartFormat>
    <chartFormat chart="25" format="2488">
      <pivotArea type="data" outline="0" fieldPosition="0">
        <references count="3">
          <reference field="4294967294" count="1" selected="0">
            <x v="3"/>
          </reference>
          <reference field="0" count="1" selected="0">
            <x v="21"/>
          </reference>
          <reference field="1" count="1" selected="0">
            <x v="2"/>
          </reference>
        </references>
      </pivotArea>
    </chartFormat>
    <chartFormat chart="25" format="2489">
      <pivotArea type="data" outline="0" fieldPosition="0">
        <references count="3">
          <reference field="4294967294" count="1" selected="0">
            <x v="3"/>
          </reference>
          <reference field="0" count="1" selected="0">
            <x v="22"/>
          </reference>
          <reference field="1" count="1" selected="0">
            <x v="2"/>
          </reference>
        </references>
      </pivotArea>
    </chartFormat>
    <chartFormat chart="25" format="2490">
      <pivotArea type="data" outline="0" fieldPosition="0">
        <references count="3">
          <reference field="4294967294" count="1" selected="0">
            <x v="3"/>
          </reference>
          <reference field="0" count="1" selected="0">
            <x v="23"/>
          </reference>
          <reference field="1" count="1" selected="0">
            <x v="2"/>
          </reference>
        </references>
      </pivotArea>
    </chartFormat>
    <chartFormat chart="25" format="2491">
      <pivotArea type="data" outline="0" fieldPosition="0">
        <references count="3">
          <reference field="4294967294" count="1" selected="0">
            <x v="3"/>
          </reference>
          <reference field="0" count="1" selected="0">
            <x v="24"/>
          </reference>
          <reference field="1" count="1" selected="0">
            <x v="2"/>
          </reference>
        </references>
      </pivotArea>
    </chartFormat>
    <chartFormat chart="25" format="2492">
      <pivotArea type="data" outline="0" fieldPosition="0">
        <references count="3">
          <reference field="4294967294" count="1" selected="0">
            <x v="3"/>
          </reference>
          <reference field="0" count="1" selected="0">
            <x v="25"/>
          </reference>
          <reference field="1" count="1" selected="0">
            <x v="2"/>
          </reference>
        </references>
      </pivotArea>
    </chartFormat>
    <chartFormat chart="25" format="2493" series="1">
      <pivotArea type="data" outline="0" fieldPosition="0">
        <references count="2">
          <reference field="4294967294" count="1" selected="0">
            <x v="4"/>
          </reference>
          <reference field="1" count="1" selected="0">
            <x v="2"/>
          </reference>
        </references>
      </pivotArea>
    </chartFormat>
    <chartFormat chart="25" format="2494">
      <pivotArea type="data" outline="0" fieldPosition="0">
        <references count="3">
          <reference field="4294967294" count="1" selected="0">
            <x v="4"/>
          </reference>
          <reference field="0" count="1" selected="0">
            <x v="0"/>
          </reference>
          <reference field="1" count="1" selected="0">
            <x v="2"/>
          </reference>
        </references>
      </pivotArea>
    </chartFormat>
    <chartFormat chart="25" format="2495">
      <pivotArea type="data" outline="0" fieldPosition="0">
        <references count="3">
          <reference field="4294967294" count="1" selected="0">
            <x v="4"/>
          </reference>
          <reference field="0" count="1" selected="0">
            <x v="1"/>
          </reference>
          <reference field="1" count="1" selected="0">
            <x v="2"/>
          </reference>
        </references>
      </pivotArea>
    </chartFormat>
    <chartFormat chart="25" format="2496">
      <pivotArea type="data" outline="0" fieldPosition="0">
        <references count="3">
          <reference field="4294967294" count="1" selected="0">
            <x v="4"/>
          </reference>
          <reference field="0" count="1" selected="0">
            <x v="2"/>
          </reference>
          <reference field="1" count="1" selected="0">
            <x v="2"/>
          </reference>
        </references>
      </pivotArea>
    </chartFormat>
    <chartFormat chart="25" format="2497">
      <pivotArea type="data" outline="0" fieldPosition="0">
        <references count="3">
          <reference field="4294967294" count="1" selected="0">
            <x v="4"/>
          </reference>
          <reference field="0" count="1" selected="0">
            <x v="3"/>
          </reference>
          <reference field="1" count="1" selected="0">
            <x v="2"/>
          </reference>
        </references>
      </pivotArea>
    </chartFormat>
    <chartFormat chart="25" format="2498">
      <pivotArea type="data" outline="0" fieldPosition="0">
        <references count="3">
          <reference field="4294967294" count="1" selected="0">
            <x v="4"/>
          </reference>
          <reference field="0" count="1" selected="0">
            <x v="4"/>
          </reference>
          <reference field="1" count="1" selected="0">
            <x v="2"/>
          </reference>
        </references>
      </pivotArea>
    </chartFormat>
    <chartFormat chart="25" format="2499">
      <pivotArea type="data" outline="0" fieldPosition="0">
        <references count="3">
          <reference field="4294967294" count="1" selected="0">
            <x v="4"/>
          </reference>
          <reference field="0" count="1" selected="0">
            <x v="5"/>
          </reference>
          <reference field="1" count="1" selected="0">
            <x v="2"/>
          </reference>
        </references>
      </pivotArea>
    </chartFormat>
    <chartFormat chart="25" format="2500">
      <pivotArea type="data" outline="0" fieldPosition="0">
        <references count="3">
          <reference field="4294967294" count="1" selected="0">
            <x v="4"/>
          </reference>
          <reference field="0" count="1" selected="0">
            <x v="6"/>
          </reference>
          <reference field="1" count="1" selected="0">
            <x v="2"/>
          </reference>
        </references>
      </pivotArea>
    </chartFormat>
    <chartFormat chart="25" format="2501">
      <pivotArea type="data" outline="0" fieldPosition="0">
        <references count="3">
          <reference field="4294967294" count="1" selected="0">
            <x v="4"/>
          </reference>
          <reference field="0" count="1" selected="0">
            <x v="7"/>
          </reference>
          <reference field="1" count="1" selected="0">
            <x v="2"/>
          </reference>
        </references>
      </pivotArea>
    </chartFormat>
    <chartFormat chart="25" format="2502">
      <pivotArea type="data" outline="0" fieldPosition="0">
        <references count="3">
          <reference field="4294967294" count="1" selected="0">
            <x v="4"/>
          </reference>
          <reference field="0" count="1" selected="0">
            <x v="8"/>
          </reference>
          <reference field="1" count="1" selected="0">
            <x v="2"/>
          </reference>
        </references>
      </pivotArea>
    </chartFormat>
    <chartFormat chart="25" format="2503">
      <pivotArea type="data" outline="0" fieldPosition="0">
        <references count="3">
          <reference field="4294967294" count="1" selected="0">
            <x v="4"/>
          </reference>
          <reference field="0" count="1" selected="0">
            <x v="9"/>
          </reference>
          <reference field="1" count="1" selected="0">
            <x v="2"/>
          </reference>
        </references>
      </pivotArea>
    </chartFormat>
    <chartFormat chart="25" format="2504">
      <pivotArea type="data" outline="0" fieldPosition="0">
        <references count="3">
          <reference field="4294967294" count="1" selected="0">
            <x v="4"/>
          </reference>
          <reference field="0" count="1" selected="0">
            <x v="10"/>
          </reference>
          <reference field="1" count="1" selected="0">
            <x v="2"/>
          </reference>
        </references>
      </pivotArea>
    </chartFormat>
    <chartFormat chart="25" format="2505">
      <pivotArea type="data" outline="0" fieldPosition="0">
        <references count="3">
          <reference field="4294967294" count="1" selected="0">
            <x v="4"/>
          </reference>
          <reference field="0" count="1" selected="0">
            <x v="11"/>
          </reference>
          <reference field="1" count="1" selected="0">
            <x v="2"/>
          </reference>
        </references>
      </pivotArea>
    </chartFormat>
    <chartFormat chart="25" format="2506">
      <pivotArea type="data" outline="0" fieldPosition="0">
        <references count="3">
          <reference field="4294967294" count="1" selected="0">
            <x v="4"/>
          </reference>
          <reference field="0" count="1" selected="0">
            <x v="12"/>
          </reference>
          <reference field="1" count="1" selected="0">
            <x v="2"/>
          </reference>
        </references>
      </pivotArea>
    </chartFormat>
    <chartFormat chart="25" format="2507">
      <pivotArea type="data" outline="0" fieldPosition="0">
        <references count="3">
          <reference field="4294967294" count="1" selected="0">
            <x v="4"/>
          </reference>
          <reference field="0" count="1" selected="0">
            <x v="13"/>
          </reference>
          <reference field="1" count="1" selected="0">
            <x v="2"/>
          </reference>
        </references>
      </pivotArea>
    </chartFormat>
    <chartFormat chart="25" format="2508">
      <pivotArea type="data" outline="0" fieldPosition="0">
        <references count="3">
          <reference field="4294967294" count="1" selected="0">
            <x v="4"/>
          </reference>
          <reference field="0" count="1" selected="0">
            <x v="14"/>
          </reference>
          <reference field="1" count="1" selected="0">
            <x v="2"/>
          </reference>
        </references>
      </pivotArea>
    </chartFormat>
    <chartFormat chart="25" format="2509">
      <pivotArea type="data" outline="0" fieldPosition="0">
        <references count="3">
          <reference field="4294967294" count="1" selected="0">
            <x v="4"/>
          </reference>
          <reference field="0" count="1" selected="0">
            <x v="15"/>
          </reference>
          <reference field="1" count="1" selected="0">
            <x v="2"/>
          </reference>
        </references>
      </pivotArea>
    </chartFormat>
    <chartFormat chart="25" format="2510">
      <pivotArea type="data" outline="0" fieldPosition="0">
        <references count="3">
          <reference field="4294967294" count="1" selected="0">
            <x v="4"/>
          </reference>
          <reference field="0" count="1" selected="0">
            <x v="16"/>
          </reference>
          <reference field="1" count="1" selected="0">
            <x v="2"/>
          </reference>
        </references>
      </pivotArea>
    </chartFormat>
    <chartFormat chart="25" format="2511">
      <pivotArea type="data" outline="0" fieldPosition="0">
        <references count="3">
          <reference field="4294967294" count="1" selected="0">
            <x v="4"/>
          </reference>
          <reference field="0" count="1" selected="0">
            <x v="17"/>
          </reference>
          <reference field="1" count="1" selected="0">
            <x v="2"/>
          </reference>
        </references>
      </pivotArea>
    </chartFormat>
    <chartFormat chart="25" format="2512">
      <pivotArea type="data" outline="0" fieldPosition="0">
        <references count="3">
          <reference field="4294967294" count="1" selected="0">
            <x v="4"/>
          </reference>
          <reference field="0" count="1" selected="0">
            <x v="18"/>
          </reference>
          <reference field="1" count="1" selected="0">
            <x v="2"/>
          </reference>
        </references>
      </pivotArea>
    </chartFormat>
    <chartFormat chart="25" format="2513">
      <pivotArea type="data" outline="0" fieldPosition="0">
        <references count="3">
          <reference field="4294967294" count="1" selected="0">
            <x v="4"/>
          </reference>
          <reference field="0" count="1" selected="0">
            <x v="19"/>
          </reference>
          <reference field="1" count="1" selected="0">
            <x v="2"/>
          </reference>
        </references>
      </pivotArea>
    </chartFormat>
    <chartFormat chart="25" format="2514">
      <pivotArea type="data" outline="0" fieldPosition="0">
        <references count="3">
          <reference field="4294967294" count="1" selected="0">
            <x v="4"/>
          </reference>
          <reference field="0" count="1" selected="0">
            <x v="20"/>
          </reference>
          <reference field="1" count="1" selected="0">
            <x v="2"/>
          </reference>
        </references>
      </pivotArea>
    </chartFormat>
    <chartFormat chart="25" format="2515">
      <pivotArea type="data" outline="0" fieldPosition="0">
        <references count="3">
          <reference field="4294967294" count="1" selected="0">
            <x v="4"/>
          </reference>
          <reference field="0" count="1" selected="0">
            <x v="21"/>
          </reference>
          <reference field="1" count="1" selected="0">
            <x v="2"/>
          </reference>
        </references>
      </pivotArea>
    </chartFormat>
    <chartFormat chart="25" format="2516">
      <pivotArea type="data" outline="0" fieldPosition="0">
        <references count="3">
          <reference field="4294967294" count="1" selected="0">
            <x v="4"/>
          </reference>
          <reference field="0" count="1" selected="0">
            <x v="22"/>
          </reference>
          <reference field="1" count="1" selected="0">
            <x v="2"/>
          </reference>
        </references>
      </pivotArea>
    </chartFormat>
    <chartFormat chart="25" format="2517">
      <pivotArea type="data" outline="0" fieldPosition="0">
        <references count="3">
          <reference field="4294967294" count="1" selected="0">
            <x v="4"/>
          </reference>
          <reference field="0" count="1" selected="0">
            <x v="23"/>
          </reference>
          <reference field="1" count="1" selected="0">
            <x v="2"/>
          </reference>
        </references>
      </pivotArea>
    </chartFormat>
    <chartFormat chart="25" format="2518">
      <pivotArea type="data" outline="0" fieldPosition="0">
        <references count="3">
          <reference field="4294967294" count="1" selected="0">
            <x v="4"/>
          </reference>
          <reference field="0" count="1" selected="0">
            <x v="24"/>
          </reference>
          <reference field="1" count="1" selected="0">
            <x v="2"/>
          </reference>
        </references>
      </pivotArea>
    </chartFormat>
    <chartFormat chart="25" format="2519">
      <pivotArea type="data" outline="0" fieldPosition="0">
        <references count="3">
          <reference field="4294967294" count="1" selected="0">
            <x v="4"/>
          </reference>
          <reference field="0" count="1" selected="0">
            <x v="25"/>
          </reference>
          <reference field="1" count="1" selected="0">
            <x v="2"/>
          </reference>
        </references>
      </pivotArea>
    </chartFormat>
    <chartFormat chart="25" format="2520" series="1">
      <pivotArea type="data" outline="0" fieldPosition="0">
        <references count="2">
          <reference field="4294967294" count="1" selected="0">
            <x v="0"/>
          </reference>
          <reference field="1" count="1" selected="0">
            <x v="3"/>
          </reference>
        </references>
      </pivotArea>
    </chartFormat>
    <chartFormat chart="25" format="2521">
      <pivotArea type="data" outline="0" fieldPosition="0">
        <references count="3">
          <reference field="4294967294" count="1" selected="0">
            <x v="0"/>
          </reference>
          <reference field="0" count="1" selected="0">
            <x v="0"/>
          </reference>
          <reference field="1" count="1" selected="0">
            <x v="3"/>
          </reference>
        </references>
      </pivotArea>
    </chartFormat>
    <chartFormat chart="25" format="2522">
      <pivotArea type="data" outline="0" fieldPosition="0">
        <references count="3">
          <reference field="4294967294" count="1" selected="0">
            <x v="0"/>
          </reference>
          <reference field="0" count="1" selected="0">
            <x v="1"/>
          </reference>
          <reference field="1" count="1" selected="0">
            <x v="3"/>
          </reference>
        </references>
      </pivotArea>
    </chartFormat>
    <chartFormat chart="25" format="2523">
      <pivotArea type="data" outline="0" fieldPosition="0">
        <references count="3">
          <reference field="4294967294" count="1" selected="0">
            <x v="0"/>
          </reference>
          <reference field="0" count="1" selected="0">
            <x v="2"/>
          </reference>
          <reference field="1" count="1" selected="0">
            <x v="3"/>
          </reference>
        </references>
      </pivotArea>
    </chartFormat>
    <chartFormat chart="25" format="2524">
      <pivotArea type="data" outline="0" fieldPosition="0">
        <references count="3">
          <reference field="4294967294" count="1" selected="0">
            <x v="0"/>
          </reference>
          <reference field="0" count="1" selected="0">
            <x v="3"/>
          </reference>
          <reference field="1" count="1" selected="0">
            <x v="3"/>
          </reference>
        </references>
      </pivotArea>
    </chartFormat>
    <chartFormat chart="25" format="2525">
      <pivotArea type="data" outline="0" fieldPosition="0">
        <references count="3">
          <reference field="4294967294" count="1" selected="0">
            <x v="0"/>
          </reference>
          <reference field="0" count="1" selected="0">
            <x v="4"/>
          </reference>
          <reference field="1" count="1" selected="0">
            <x v="3"/>
          </reference>
        </references>
      </pivotArea>
    </chartFormat>
    <chartFormat chart="25" format="2526">
      <pivotArea type="data" outline="0" fieldPosition="0">
        <references count="3">
          <reference field="4294967294" count="1" selected="0">
            <x v="0"/>
          </reference>
          <reference field="0" count="1" selected="0">
            <x v="5"/>
          </reference>
          <reference field="1" count="1" selected="0">
            <x v="3"/>
          </reference>
        </references>
      </pivotArea>
    </chartFormat>
    <chartFormat chart="25" format="2527">
      <pivotArea type="data" outline="0" fieldPosition="0">
        <references count="3">
          <reference field="4294967294" count="1" selected="0">
            <x v="0"/>
          </reference>
          <reference field="0" count="1" selected="0">
            <x v="6"/>
          </reference>
          <reference field="1" count="1" selected="0">
            <x v="3"/>
          </reference>
        </references>
      </pivotArea>
    </chartFormat>
    <chartFormat chart="25" format="2528">
      <pivotArea type="data" outline="0" fieldPosition="0">
        <references count="3">
          <reference field="4294967294" count="1" selected="0">
            <x v="0"/>
          </reference>
          <reference field="0" count="1" selected="0">
            <x v="7"/>
          </reference>
          <reference field="1" count="1" selected="0">
            <x v="3"/>
          </reference>
        </references>
      </pivotArea>
    </chartFormat>
    <chartFormat chart="25" format="2529">
      <pivotArea type="data" outline="0" fieldPosition="0">
        <references count="3">
          <reference field="4294967294" count="1" selected="0">
            <x v="0"/>
          </reference>
          <reference field="0" count="1" selected="0">
            <x v="8"/>
          </reference>
          <reference field="1" count="1" selected="0">
            <x v="3"/>
          </reference>
        </references>
      </pivotArea>
    </chartFormat>
    <chartFormat chart="25" format="2530">
      <pivotArea type="data" outline="0" fieldPosition="0">
        <references count="3">
          <reference field="4294967294" count="1" selected="0">
            <x v="0"/>
          </reference>
          <reference field="0" count="1" selected="0">
            <x v="9"/>
          </reference>
          <reference field="1" count="1" selected="0">
            <x v="3"/>
          </reference>
        </references>
      </pivotArea>
    </chartFormat>
    <chartFormat chart="25" format="2531">
      <pivotArea type="data" outline="0" fieldPosition="0">
        <references count="3">
          <reference field="4294967294" count="1" selected="0">
            <x v="0"/>
          </reference>
          <reference field="0" count="1" selected="0">
            <x v="10"/>
          </reference>
          <reference field="1" count="1" selected="0">
            <x v="3"/>
          </reference>
        </references>
      </pivotArea>
    </chartFormat>
    <chartFormat chart="25" format="2532">
      <pivotArea type="data" outline="0" fieldPosition="0">
        <references count="3">
          <reference field="4294967294" count="1" selected="0">
            <x v="0"/>
          </reference>
          <reference field="0" count="1" selected="0">
            <x v="11"/>
          </reference>
          <reference field="1" count="1" selected="0">
            <x v="3"/>
          </reference>
        </references>
      </pivotArea>
    </chartFormat>
    <chartFormat chart="25" format="2533">
      <pivotArea type="data" outline="0" fieldPosition="0">
        <references count="3">
          <reference field="4294967294" count="1" selected="0">
            <x v="0"/>
          </reference>
          <reference field="0" count="1" selected="0">
            <x v="12"/>
          </reference>
          <reference field="1" count="1" selected="0">
            <x v="3"/>
          </reference>
        </references>
      </pivotArea>
    </chartFormat>
    <chartFormat chart="25" format="2534">
      <pivotArea type="data" outline="0" fieldPosition="0">
        <references count="3">
          <reference field="4294967294" count="1" selected="0">
            <x v="0"/>
          </reference>
          <reference field="0" count="1" selected="0">
            <x v="13"/>
          </reference>
          <reference field="1" count="1" selected="0">
            <x v="3"/>
          </reference>
        </references>
      </pivotArea>
    </chartFormat>
    <chartFormat chart="25" format="2535">
      <pivotArea type="data" outline="0" fieldPosition="0">
        <references count="3">
          <reference field="4294967294" count="1" selected="0">
            <x v="0"/>
          </reference>
          <reference field="0" count="1" selected="0">
            <x v="14"/>
          </reference>
          <reference field="1" count="1" selected="0">
            <x v="3"/>
          </reference>
        </references>
      </pivotArea>
    </chartFormat>
    <chartFormat chart="25" format="2536">
      <pivotArea type="data" outline="0" fieldPosition="0">
        <references count="3">
          <reference field="4294967294" count="1" selected="0">
            <x v="0"/>
          </reference>
          <reference field="0" count="1" selected="0">
            <x v="15"/>
          </reference>
          <reference field="1" count="1" selected="0">
            <x v="3"/>
          </reference>
        </references>
      </pivotArea>
    </chartFormat>
    <chartFormat chart="25" format="2537">
      <pivotArea type="data" outline="0" fieldPosition="0">
        <references count="3">
          <reference field="4294967294" count="1" selected="0">
            <x v="0"/>
          </reference>
          <reference field="0" count="1" selected="0">
            <x v="16"/>
          </reference>
          <reference field="1" count="1" selected="0">
            <x v="3"/>
          </reference>
        </references>
      </pivotArea>
    </chartFormat>
    <chartFormat chart="25" format="2538">
      <pivotArea type="data" outline="0" fieldPosition="0">
        <references count="3">
          <reference field="4294967294" count="1" selected="0">
            <x v="0"/>
          </reference>
          <reference field="0" count="1" selected="0">
            <x v="17"/>
          </reference>
          <reference field="1" count="1" selected="0">
            <x v="3"/>
          </reference>
        </references>
      </pivotArea>
    </chartFormat>
    <chartFormat chart="25" format="2539">
      <pivotArea type="data" outline="0" fieldPosition="0">
        <references count="3">
          <reference field="4294967294" count="1" selected="0">
            <x v="0"/>
          </reference>
          <reference field="0" count="1" selected="0">
            <x v="18"/>
          </reference>
          <reference field="1" count="1" selected="0">
            <x v="3"/>
          </reference>
        </references>
      </pivotArea>
    </chartFormat>
    <chartFormat chart="25" format="2540">
      <pivotArea type="data" outline="0" fieldPosition="0">
        <references count="3">
          <reference field="4294967294" count="1" selected="0">
            <x v="0"/>
          </reference>
          <reference field="0" count="1" selected="0">
            <x v="19"/>
          </reference>
          <reference field="1" count="1" selected="0">
            <x v="3"/>
          </reference>
        </references>
      </pivotArea>
    </chartFormat>
    <chartFormat chart="25" format="2541">
      <pivotArea type="data" outline="0" fieldPosition="0">
        <references count="3">
          <reference field="4294967294" count="1" selected="0">
            <x v="0"/>
          </reference>
          <reference field="0" count="1" selected="0">
            <x v="20"/>
          </reference>
          <reference field="1" count="1" selected="0">
            <x v="3"/>
          </reference>
        </references>
      </pivotArea>
    </chartFormat>
    <chartFormat chart="25" format="2542">
      <pivotArea type="data" outline="0" fieldPosition="0">
        <references count="3">
          <reference field="4294967294" count="1" selected="0">
            <x v="0"/>
          </reference>
          <reference field="0" count="1" selected="0">
            <x v="21"/>
          </reference>
          <reference field="1" count="1" selected="0">
            <x v="3"/>
          </reference>
        </references>
      </pivotArea>
    </chartFormat>
    <chartFormat chart="25" format="2543">
      <pivotArea type="data" outline="0" fieldPosition="0">
        <references count="3">
          <reference field="4294967294" count="1" selected="0">
            <x v="0"/>
          </reference>
          <reference field="0" count="1" selected="0">
            <x v="22"/>
          </reference>
          <reference field="1" count="1" selected="0">
            <x v="3"/>
          </reference>
        </references>
      </pivotArea>
    </chartFormat>
    <chartFormat chart="25" format="2544">
      <pivotArea type="data" outline="0" fieldPosition="0">
        <references count="3">
          <reference field="4294967294" count="1" selected="0">
            <x v="0"/>
          </reference>
          <reference field="0" count="1" selected="0">
            <x v="23"/>
          </reference>
          <reference field="1" count="1" selected="0">
            <x v="3"/>
          </reference>
        </references>
      </pivotArea>
    </chartFormat>
    <chartFormat chart="25" format="2545">
      <pivotArea type="data" outline="0" fieldPosition="0">
        <references count="3">
          <reference field="4294967294" count="1" selected="0">
            <x v="0"/>
          </reference>
          <reference field="0" count="1" selected="0">
            <x v="24"/>
          </reference>
          <reference field="1" count="1" selected="0">
            <x v="3"/>
          </reference>
        </references>
      </pivotArea>
    </chartFormat>
    <chartFormat chart="25" format="2546">
      <pivotArea type="data" outline="0" fieldPosition="0">
        <references count="3">
          <reference field="4294967294" count="1" selected="0">
            <x v="0"/>
          </reference>
          <reference field="0" count="1" selected="0">
            <x v="25"/>
          </reference>
          <reference field="1" count="1" selected="0">
            <x v="3"/>
          </reference>
        </references>
      </pivotArea>
    </chartFormat>
    <chartFormat chart="25" format="2547" series="1">
      <pivotArea type="data" outline="0" fieldPosition="0">
        <references count="2">
          <reference field="4294967294" count="1" selected="0">
            <x v="1"/>
          </reference>
          <reference field="1" count="1" selected="0">
            <x v="3"/>
          </reference>
        </references>
      </pivotArea>
    </chartFormat>
    <chartFormat chart="25" format="2548">
      <pivotArea type="data" outline="0" fieldPosition="0">
        <references count="3">
          <reference field="4294967294" count="1" selected="0">
            <x v="1"/>
          </reference>
          <reference field="0" count="1" selected="0">
            <x v="0"/>
          </reference>
          <reference field="1" count="1" selected="0">
            <x v="3"/>
          </reference>
        </references>
      </pivotArea>
    </chartFormat>
    <chartFormat chart="25" format="2549">
      <pivotArea type="data" outline="0" fieldPosition="0">
        <references count="3">
          <reference field="4294967294" count="1" selected="0">
            <x v="1"/>
          </reference>
          <reference field="0" count="1" selected="0">
            <x v="1"/>
          </reference>
          <reference field="1" count="1" selected="0">
            <x v="3"/>
          </reference>
        </references>
      </pivotArea>
    </chartFormat>
    <chartFormat chart="25" format="2550">
      <pivotArea type="data" outline="0" fieldPosition="0">
        <references count="3">
          <reference field="4294967294" count="1" selected="0">
            <x v="1"/>
          </reference>
          <reference field="0" count="1" selected="0">
            <x v="2"/>
          </reference>
          <reference field="1" count="1" selected="0">
            <x v="3"/>
          </reference>
        </references>
      </pivotArea>
    </chartFormat>
    <chartFormat chart="25" format="2551">
      <pivotArea type="data" outline="0" fieldPosition="0">
        <references count="3">
          <reference field="4294967294" count="1" selected="0">
            <x v="1"/>
          </reference>
          <reference field="0" count="1" selected="0">
            <x v="3"/>
          </reference>
          <reference field="1" count="1" selected="0">
            <x v="3"/>
          </reference>
        </references>
      </pivotArea>
    </chartFormat>
    <chartFormat chart="25" format="2552">
      <pivotArea type="data" outline="0" fieldPosition="0">
        <references count="3">
          <reference field="4294967294" count="1" selected="0">
            <x v="1"/>
          </reference>
          <reference field="0" count="1" selected="0">
            <x v="4"/>
          </reference>
          <reference field="1" count="1" selected="0">
            <x v="3"/>
          </reference>
        </references>
      </pivotArea>
    </chartFormat>
    <chartFormat chart="25" format="2553">
      <pivotArea type="data" outline="0" fieldPosition="0">
        <references count="3">
          <reference field="4294967294" count="1" selected="0">
            <x v="1"/>
          </reference>
          <reference field="0" count="1" selected="0">
            <x v="5"/>
          </reference>
          <reference field="1" count="1" selected="0">
            <x v="3"/>
          </reference>
        </references>
      </pivotArea>
    </chartFormat>
    <chartFormat chart="25" format="2554">
      <pivotArea type="data" outline="0" fieldPosition="0">
        <references count="3">
          <reference field="4294967294" count="1" selected="0">
            <x v="1"/>
          </reference>
          <reference field="0" count="1" selected="0">
            <x v="6"/>
          </reference>
          <reference field="1" count="1" selected="0">
            <x v="3"/>
          </reference>
        </references>
      </pivotArea>
    </chartFormat>
    <chartFormat chart="25" format="2555">
      <pivotArea type="data" outline="0" fieldPosition="0">
        <references count="3">
          <reference field="4294967294" count="1" selected="0">
            <x v="1"/>
          </reference>
          <reference field="0" count="1" selected="0">
            <x v="7"/>
          </reference>
          <reference field="1" count="1" selected="0">
            <x v="3"/>
          </reference>
        </references>
      </pivotArea>
    </chartFormat>
    <chartFormat chart="25" format="2556">
      <pivotArea type="data" outline="0" fieldPosition="0">
        <references count="3">
          <reference field="4294967294" count="1" selected="0">
            <x v="1"/>
          </reference>
          <reference field="0" count="1" selected="0">
            <x v="8"/>
          </reference>
          <reference field="1" count="1" selected="0">
            <x v="3"/>
          </reference>
        </references>
      </pivotArea>
    </chartFormat>
    <chartFormat chart="25" format="2557">
      <pivotArea type="data" outline="0" fieldPosition="0">
        <references count="3">
          <reference field="4294967294" count="1" selected="0">
            <x v="1"/>
          </reference>
          <reference field="0" count="1" selected="0">
            <x v="9"/>
          </reference>
          <reference field="1" count="1" selected="0">
            <x v="3"/>
          </reference>
        </references>
      </pivotArea>
    </chartFormat>
    <chartFormat chart="25" format="2558">
      <pivotArea type="data" outline="0" fieldPosition="0">
        <references count="3">
          <reference field="4294967294" count="1" selected="0">
            <x v="1"/>
          </reference>
          <reference field="0" count="1" selected="0">
            <x v="10"/>
          </reference>
          <reference field="1" count="1" selected="0">
            <x v="3"/>
          </reference>
        </references>
      </pivotArea>
    </chartFormat>
    <chartFormat chart="25" format="2559">
      <pivotArea type="data" outline="0" fieldPosition="0">
        <references count="3">
          <reference field="4294967294" count="1" selected="0">
            <x v="1"/>
          </reference>
          <reference field="0" count="1" selected="0">
            <x v="11"/>
          </reference>
          <reference field="1" count="1" selected="0">
            <x v="3"/>
          </reference>
        </references>
      </pivotArea>
    </chartFormat>
    <chartFormat chart="25" format="2560">
      <pivotArea type="data" outline="0" fieldPosition="0">
        <references count="3">
          <reference field="4294967294" count="1" selected="0">
            <x v="1"/>
          </reference>
          <reference field="0" count="1" selected="0">
            <x v="12"/>
          </reference>
          <reference field="1" count="1" selected="0">
            <x v="3"/>
          </reference>
        </references>
      </pivotArea>
    </chartFormat>
    <chartFormat chart="25" format="2561">
      <pivotArea type="data" outline="0" fieldPosition="0">
        <references count="3">
          <reference field="4294967294" count="1" selected="0">
            <x v="1"/>
          </reference>
          <reference field="0" count="1" selected="0">
            <x v="13"/>
          </reference>
          <reference field="1" count="1" selected="0">
            <x v="3"/>
          </reference>
        </references>
      </pivotArea>
    </chartFormat>
    <chartFormat chart="25" format="2562">
      <pivotArea type="data" outline="0" fieldPosition="0">
        <references count="3">
          <reference field="4294967294" count="1" selected="0">
            <x v="1"/>
          </reference>
          <reference field="0" count="1" selected="0">
            <x v="14"/>
          </reference>
          <reference field="1" count="1" selected="0">
            <x v="3"/>
          </reference>
        </references>
      </pivotArea>
    </chartFormat>
    <chartFormat chart="25" format="2563">
      <pivotArea type="data" outline="0" fieldPosition="0">
        <references count="3">
          <reference field="4294967294" count="1" selected="0">
            <x v="1"/>
          </reference>
          <reference field="0" count="1" selected="0">
            <x v="15"/>
          </reference>
          <reference field="1" count="1" selected="0">
            <x v="3"/>
          </reference>
        </references>
      </pivotArea>
    </chartFormat>
    <chartFormat chart="25" format="2564">
      <pivotArea type="data" outline="0" fieldPosition="0">
        <references count="3">
          <reference field="4294967294" count="1" selected="0">
            <x v="1"/>
          </reference>
          <reference field="0" count="1" selected="0">
            <x v="16"/>
          </reference>
          <reference field="1" count="1" selected="0">
            <x v="3"/>
          </reference>
        </references>
      </pivotArea>
    </chartFormat>
    <chartFormat chart="25" format="2565">
      <pivotArea type="data" outline="0" fieldPosition="0">
        <references count="3">
          <reference field="4294967294" count="1" selected="0">
            <x v="1"/>
          </reference>
          <reference field="0" count="1" selected="0">
            <x v="17"/>
          </reference>
          <reference field="1" count="1" selected="0">
            <x v="3"/>
          </reference>
        </references>
      </pivotArea>
    </chartFormat>
    <chartFormat chart="25" format="2566">
      <pivotArea type="data" outline="0" fieldPosition="0">
        <references count="3">
          <reference field="4294967294" count="1" selected="0">
            <x v="1"/>
          </reference>
          <reference field="0" count="1" selected="0">
            <x v="18"/>
          </reference>
          <reference field="1" count="1" selected="0">
            <x v="3"/>
          </reference>
        </references>
      </pivotArea>
    </chartFormat>
    <chartFormat chart="25" format="2567">
      <pivotArea type="data" outline="0" fieldPosition="0">
        <references count="3">
          <reference field="4294967294" count="1" selected="0">
            <x v="1"/>
          </reference>
          <reference field="0" count="1" selected="0">
            <x v="19"/>
          </reference>
          <reference field="1" count="1" selected="0">
            <x v="3"/>
          </reference>
        </references>
      </pivotArea>
    </chartFormat>
    <chartFormat chart="25" format="2568">
      <pivotArea type="data" outline="0" fieldPosition="0">
        <references count="3">
          <reference field="4294967294" count="1" selected="0">
            <x v="1"/>
          </reference>
          <reference field="0" count="1" selected="0">
            <x v="20"/>
          </reference>
          <reference field="1" count="1" selected="0">
            <x v="3"/>
          </reference>
        </references>
      </pivotArea>
    </chartFormat>
    <chartFormat chart="25" format="2569">
      <pivotArea type="data" outline="0" fieldPosition="0">
        <references count="3">
          <reference field="4294967294" count="1" selected="0">
            <x v="1"/>
          </reference>
          <reference field="0" count="1" selected="0">
            <x v="21"/>
          </reference>
          <reference field="1" count="1" selected="0">
            <x v="3"/>
          </reference>
        </references>
      </pivotArea>
    </chartFormat>
    <chartFormat chart="25" format="2570">
      <pivotArea type="data" outline="0" fieldPosition="0">
        <references count="3">
          <reference field="4294967294" count="1" selected="0">
            <x v="1"/>
          </reference>
          <reference field="0" count="1" selected="0">
            <x v="22"/>
          </reference>
          <reference field="1" count="1" selected="0">
            <x v="3"/>
          </reference>
        </references>
      </pivotArea>
    </chartFormat>
    <chartFormat chart="25" format="2571">
      <pivotArea type="data" outline="0" fieldPosition="0">
        <references count="3">
          <reference field="4294967294" count="1" selected="0">
            <x v="1"/>
          </reference>
          <reference field="0" count="1" selected="0">
            <x v="23"/>
          </reference>
          <reference field="1" count="1" selected="0">
            <x v="3"/>
          </reference>
        </references>
      </pivotArea>
    </chartFormat>
    <chartFormat chart="25" format="2572">
      <pivotArea type="data" outline="0" fieldPosition="0">
        <references count="3">
          <reference field="4294967294" count="1" selected="0">
            <x v="1"/>
          </reference>
          <reference field="0" count="1" selected="0">
            <x v="24"/>
          </reference>
          <reference field="1" count="1" selected="0">
            <x v="3"/>
          </reference>
        </references>
      </pivotArea>
    </chartFormat>
    <chartFormat chart="25" format="2573">
      <pivotArea type="data" outline="0" fieldPosition="0">
        <references count="3">
          <reference field="4294967294" count="1" selected="0">
            <x v="1"/>
          </reference>
          <reference field="0" count="1" selected="0">
            <x v="25"/>
          </reference>
          <reference field="1" count="1" selected="0">
            <x v="3"/>
          </reference>
        </references>
      </pivotArea>
    </chartFormat>
    <chartFormat chart="25" format="2574" series="1">
      <pivotArea type="data" outline="0" fieldPosition="0">
        <references count="2">
          <reference field="4294967294" count="1" selected="0">
            <x v="2"/>
          </reference>
          <reference field="1" count="1" selected="0">
            <x v="3"/>
          </reference>
        </references>
      </pivotArea>
    </chartFormat>
    <chartFormat chart="25" format="2575">
      <pivotArea type="data" outline="0" fieldPosition="0">
        <references count="3">
          <reference field="4294967294" count="1" selected="0">
            <x v="2"/>
          </reference>
          <reference field="0" count="1" selected="0">
            <x v="0"/>
          </reference>
          <reference field="1" count="1" selected="0">
            <x v="3"/>
          </reference>
        </references>
      </pivotArea>
    </chartFormat>
    <chartFormat chart="25" format="2576">
      <pivotArea type="data" outline="0" fieldPosition="0">
        <references count="3">
          <reference field="4294967294" count="1" selected="0">
            <x v="2"/>
          </reference>
          <reference field="0" count="1" selected="0">
            <x v="1"/>
          </reference>
          <reference field="1" count="1" selected="0">
            <x v="3"/>
          </reference>
        </references>
      </pivotArea>
    </chartFormat>
    <chartFormat chart="25" format="2577">
      <pivotArea type="data" outline="0" fieldPosition="0">
        <references count="3">
          <reference field="4294967294" count="1" selected="0">
            <x v="2"/>
          </reference>
          <reference field="0" count="1" selected="0">
            <x v="2"/>
          </reference>
          <reference field="1" count="1" selected="0">
            <x v="3"/>
          </reference>
        </references>
      </pivotArea>
    </chartFormat>
    <chartFormat chart="25" format="2578">
      <pivotArea type="data" outline="0" fieldPosition="0">
        <references count="3">
          <reference field="4294967294" count="1" selected="0">
            <x v="2"/>
          </reference>
          <reference field="0" count="1" selected="0">
            <x v="3"/>
          </reference>
          <reference field="1" count="1" selected="0">
            <x v="3"/>
          </reference>
        </references>
      </pivotArea>
    </chartFormat>
    <chartFormat chart="25" format="2579">
      <pivotArea type="data" outline="0" fieldPosition="0">
        <references count="3">
          <reference field="4294967294" count="1" selected="0">
            <x v="2"/>
          </reference>
          <reference field="0" count="1" selected="0">
            <x v="4"/>
          </reference>
          <reference field="1" count="1" selected="0">
            <x v="3"/>
          </reference>
        </references>
      </pivotArea>
    </chartFormat>
    <chartFormat chart="25" format="2580">
      <pivotArea type="data" outline="0" fieldPosition="0">
        <references count="3">
          <reference field="4294967294" count="1" selected="0">
            <x v="2"/>
          </reference>
          <reference field="0" count="1" selected="0">
            <x v="5"/>
          </reference>
          <reference field="1" count="1" selected="0">
            <x v="3"/>
          </reference>
        </references>
      </pivotArea>
    </chartFormat>
    <chartFormat chart="25" format="2581">
      <pivotArea type="data" outline="0" fieldPosition="0">
        <references count="3">
          <reference field="4294967294" count="1" selected="0">
            <x v="2"/>
          </reference>
          <reference field="0" count="1" selected="0">
            <x v="6"/>
          </reference>
          <reference field="1" count="1" selected="0">
            <x v="3"/>
          </reference>
        </references>
      </pivotArea>
    </chartFormat>
    <chartFormat chart="25" format="2582">
      <pivotArea type="data" outline="0" fieldPosition="0">
        <references count="3">
          <reference field="4294967294" count="1" selected="0">
            <x v="2"/>
          </reference>
          <reference field="0" count="1" selected="0">
            <x v="7"/>
          </reference>
          <reference field="1" count="1" selected="0">
            <x v="3"/>
          </reference>
        </references>
      </pivotArea>
    </chartFormat>
    <chartFormat chart="25" format="2583">
      <pivotArea type="data" outline="0" fieldPosition="0">
        <references count="3">
          <reference field="4294967294" count="1" selected="0">
            <x v="2"/>
          </reference>
          <reference field="0" count="1" selected="0">
            <x v="8"/>
          </reference>
          <reference field="1" count="1" selected="0">
            <x v="3"/>
          </reference>
        </references>
      </pivotArea>
    </chartFormat>
    <chartFormat chart="25" format="2584">
      <pivotArea type="data" outline="0" fieldPosition="0">
        <references count="3">
          <reference field="4294967294" count="1" selected="0">
            <x v="2"/>
          </reference>
          <reference field="0" count="1" selected="0">
            <x v="9"/>
          </reference>
          <reference field="1" count="1" selected="0">
            <x v="3"/>
          </reference>
        </references>
      </pivotArea>
    </chartFormat>
    <chartFormat chart="25" format="2585">
      <pivotArea type="data" outline="0" fieldPosition="0">
        <references count="3">
          <reference field="4294967294" count="1" selected="0">
            <x v="2"/>
          </reference>
          <reference field="0" count="1" selected="0">
            <x v="10"/>
          </reference>
          <reference field="1" count="1" selected="0">
            <x v="3"/>
          </reference>
        </references>
      </pivotArea>
    </chartFormat>
    <chartFormat chart="25" format="2586">
      <pivotArea type="data" outline="0" fieldPosition="0">
        <references count="3">
          <reference field="4294967294" count="1" selected="0">
            <x v="2"/>
          </reference>
          <reference field="0" count="1" selected="0">
            <x v="11"/>
          </reference>
          <reference field="1" count="1" selected="0">
            <x v="3"/>
          </reference>
        </references>
      </pivotArea>
    </chartFormat>
    <chartFormat chart="25" format="2587">
      <pivotArea type="data" outline="0" fieldPosition="0">
        <references count="3">
          <reference field="4294967294" count="1" selected="0">
            <x v="2"/>
          </reference>
          <reference field="0" count="1" selected="0">
            <x v="12"/>
          </reference>
          <reference field="1" count="1" selected="0">
            <x v="3"/>
          </reference>
        </references>
      </pivotArea>
    </chartFormat>
    <chartFormat chart="25" format="2588">
      <pivotArea type="data" outline="0" fieldPosition="0">
        <references count="3">
          <reference field="4294967294" count="1" selected="0">
            <x v="2"/>
          </reference>
          <reference field="0" count="1" selected="0">
            <x v="13"/>
          </reference>
          <reference field="1" count="1" selected="0">
            <x v="3"/>
          </reference>
        </references>
      </pivotArea>
    </chartFormat>
    <chartFormat chart="25" format="2589">
      <pivotArea type="data" outline="0" fieldPosition="0">
        <references count="3">
          <reference field="4294967294" count="1" selected="0">
            <x v="2"/>
          </reference>
          <reference field="0" count="1" selected="0">
            <x v="14"/>
          </reference>
          <reference field="1" count="1" selected="0">
            <x v="3"/>
          </reference>
        </references>
      </pivotArea>
    </chartFormat>
    <chartFormat chart="25" format="2590">
      <pivotArea type="data" outline="0" fieldPosition="0">
        <references count="3">
          <reference field="4294967294" count="1" selected="0">
            <x v="2"/>
          </reference>
          <reference field="0" count="1" selected="0">
            <x v="15"/>
          </reference>
          <reference field="1" count="1" selected="0">
            <x v="3"/>
          </reference>
        </references>
      </pivotArea>
    </chartFormat>
    <chartFormat chart="25" format="2591">
      <pivotArea type="data" outline="0" fieldPosition="0">
        <references count="3">
          <reference field="4294967294" count="1" selected="0">
            <x v="2"/>
          </reference>
          <reference field="0" count="1" selected="0">
            <x v="16"/>
          </reference>
          <reference field="1" count="1" selected="0">
            <x v="3"/>
          </reference>
        </references>
      </pivotArea>
    </chartFormat>
    <chartFormat chart="25" format="2592">
      <pivotArea type="data" outline="0" fieldPosition="0">
        <references count="3">
          <reference field="4294967294" count="1" selected="0">
            <x v="2"/>
          </reference>
          <reference field="0" count="1" selected="0">
            <x v="17"/>
          </reference>
          <reference field="1" count="1" selected="0">
            <x v="3"/>
          </reference>
        </references>
      </pivotArea>
    </chartFormat>
    <chartFormat chart="25" format="2593">
      <pivotArea type="data" outline="0" fieldPosition="0">
        <references count="3">
          <reference field="4294967294" count="1" selected="0">
            <x v="2"/>
          </reference>
          <reference field="0" count="1" selected="0">
            <x v="18"/>
          </reference>
          <reference field="1" count="1" selected="0">
            <x v="3"/>
          </reference>
        </references>
      </pivotArea>
    </chartFormat>
    <chartFormat chart="25" format="2594">
      <pivotArea type="data" outline="0" fieldPosition="0">
        <references count="3">
          <reference field="4294967294" count="1" selected="0">
            <x v="2"/>
          </reference>
          <reference field="0" count="1" selected="0">
            <x v="19"/>
          </reference>
          <reference field="1" count="1" selected="0">
            <x v="3"/>
          </reference>
        </references>
      </pivotArea>
    </chartFormat>
    <chartFormat chart="25" format="2595">
      <pivotArea type="data" outline="0" fieldPosition="0">
        <references count="3">
          <reference field="4294967294" count="1" selected="0">
            <x v="2"/>
          </reference>
          <reference field="0" count="1" selected="0">
            <x v="20"/>
          </reference>
          <reference field="1" count="1" selected="0">
            <x v="3"/>
          </reference>
        </references>
      </pivotArea>
    </chartFormat>
    <chartFormat chart="25" format="2596">
      <pivotArea type="data" outline="0" fieldPosition="0">
        <references count="3">
          <reference field="4294967294" count="1" selected="0">
            <x v="2"/>
          </reference>
          <reference field="0" count="1" selected="0">
            <x v="21"/>
          </reference>
          <reference field="1" count="1" selected="0">
            <x v="3"/>
          </reference>
        </references>
      </pivotArea>
    </chartFormat>
    <chartFormat chart="25" format="2597">
      <pivotArea type="data" outline="0" fieldPosition="0">
        <references count="3">
          <reference field="4294967294" count="1" selected="0">
            <x v="2"/>
          </reference>
          <reference field="0" count="1" selected="0">
            <x v="22"/>
          </reference>
          <reference field="1" count="1" selected="0">
            <x v="3"/>
          </reference>
        </references>
      </pivotArea>
    </chartFormat>
    <chartFormat chart="25" format="2598">
      <pivotArea type="data" outline="0" fieldPosition="0">
        <references count="3">
          <reference field="4294967294" count="1" selected="0">
            <x v="2"/>
          </reference>
          <reference field="0" count="1" selected="0">
            <x v="23"/>
          </reference>
          <reference field="1" count="1" selected="0">
            <x v="3"/>
          </reference>
        </references>
      </pivotArea>
    </chartFormat>
    <chartFormat chart="25" format="2599">
      <pivotArea type="data" outline="0" fieldPosition="0">
        <references count="3">
          <reference field="4294967294" count="1" selected="0">
            <x v="2"/>
          </reference>
          <reference field="0" count="1" selected="0">
            <x v="24"/>
          </reference>
          <reference field="1" count="1" selected="0">
            <x v="3"/>
          </reference>
        </references>
      </pivotArea>
    </chartFormat>
    <chartFormat chart="25" format="2600">
      <pivotArea type="data" outline="0" fieldPosition="0">
        <references count="3">
          <reference field="4294967294" count="1" selected="0">
            <x v="2"/>
          </reference>
          <reference field="0" count="1" selected="0">
            <x v="25"/>
          </reference>
          <reference field="1" count="1" selected="0">
            <x v="3"/>
          </reference>
        </references>
      </pivotArea>
    </chartFormat>
    <chartFormat chart="25" format="2601" series="1">
      <pivotArea type="data" outline="0" fieldPosition="0">
        <references count="2">
          <reference field="4294967294" count="1" selected="0">
            <x v="3"/>
          </reference>
          <reference field="1" count="1" selected="0">
            <x v="3"/>
          </reference>
        </references>
      </pivotArea>
    </chartFormat>
    <chartFormat chart="25" format="2602">
      <pivotArea type="data" outline="0" fieldPosition="0">
        <references count="3">
          <reference field="4294967294" count="1" selected="0">
            <x v="3"/>
          </reference>
          <reference field="0" count="1" selected="0">
            <x v="0"/>
          </reference>
          <reference field="1" count="1" selected="0">
            <x v="3"/>
          </reference>
        </references>
      </pivotArea>
    </chartFormat>
    <chartFormat chart="25" format="2603">
      <pivotArea type="data" outline="0" fieldPosition="0">
        <references count="3">
          <reference field="4294967294" count="1" selected="0">
            <x v="3"/>
          </reference>
          <reference field="0" count="1" selected="0">
            <x v="1"/>
          </reference>
          <reference field="1" count="1" selected="0">
            <x v="3"/>
          </reference>
        </references>
      </pivotArea>
    </chartFormat>
    <chartFormat chart="25" format="2604">
      <pivotArea type="data" outline="0" fieldPosition="0">
        <references count="3">
          <reference field="4294967294" count="1" selected="0">
            <x v="3"/>
          </reference>
          <reference field="0" count="1" selected="0">
            <x v="2"/>
          </reference>
          <reference field="1" count="1" selected="0">
            <x v="3"/>
          </reference>
        </references>
      </pivotArea>
    </chartFormat>
    <chartFormat chart="25" format="2605">
      <pivotArea type="data" outline="0" fieldPosition="0">
        <references count="3">
          <reference field="4294967294" count="1" selected="0">
            <x v="3"/>
          </reference>
          <reference field="0" count="1" selected="0">
            <x v="3"/>
          </reference>
          <reference field="1" count="1" selected="0">
            <x v="3"/>
          </reference>
        </references>
      </pivotArea>
    </chartFormat>
    <chartFormat chart="25" format="2606">
      <pivotArea type="data" outline="0" fieldPosition="0">
        <references count="3">
          <reference field="4294967294" count="1" selected="0">
            <x v="3"/>
          </reference>
          <reference field="0" count="1" selected="0">
            <x v="4"/>
          </reference>
          <reference field="1" count="1" selected="0">
            <x v="3"/>
          </reference>
        </references>
      </pivotArea>
    </chartFormat>
    <chartFormat chart="25" format="2607">
      <pivotArea type="data" outline="0" fieldPosition="0">
        <references count="3">
          <reference field="4294967294" count="1" selected="0">
            <x v="3"/>
          </reference>
          <reference field="0" count="1" selected="0">
            <x v="5"/>
          </reference>
          <reference field="1" count="1" selected="0">
            <x v="3"/>
          </reference>
        </references>
      </pivotArea>
    </chartFormat>
    <chartFormat chart="25" format="2608">
      <pivotArea type="data" outline="0" fieldPosition="0">
        <references count="3">
          <reference field="4294967294" count="1" selected="0">
            <x v="3"/>
          </reference>
          <reference field="0" count="1" selected="0">
            <x v="6"/>
          </reference>
          <reference field="1" count="1" selected="0">
            <x v="3"/>
          </reference>
        </references>
      </pivotArea>
    </chartFormat>
    <chartFormat chart="25" format="2609">
      <pivotArea type="data" outline="0" fieldPosition="0">
        <references count="3">
          <reference field="4294967294" count="1" selected="0">
            <x v="3"/>
          </reference>
          <reference field="0" count="1" selected="0">
            <x v="7"/>
          </reference>
          <reference field="1" count="1" selected="0">
            <x v="3"/>
          </reference>
        </references>
      </pivotArea>
    </chartFormat>
    <chartFormat chart="25" format="2610">
      <pivotArea type="data" outline="0" fieldPosition="0">
        <references count="3">
          <reference field="4294967294" count="1" selected="0">
            <x v="3"/>
          </reference>
          <reference field="0" count="1" selected="0">
            <x v="8"/>
          </reference>
          <reference field="1" count="1" selected="0">
            <x v="3"/>
          </reference>
        </references>
      </pivotArea>
    </chartFormat>
    <chartFormat chart="25" format="2611">
      <pivotArea type="data" outline="0" fieldPosition="0">
        <references count="3">
          <reference field="4294967294" count="1" selected="0">
            <x v="3"/>
          </reference>
          <reference field="0" count="1" selected="0">
            <x v="9"/>
          </reference>
          <reference field="1" count="1" selected="0">
            <x v="3"/>
          </reference>
        </references>
      </pivotArea>
    </chartFormat>
    <chartFormat chart="25" format="2612">
      <pivotArea type="data" outline="0" fieldPosition="0">
        <references count="3">
          <reference field="4294967294" count="1" selected="0">
            <x v="3"/>
          </reference>
          <reference field="0" count="1" selected="0">
            <x v="10"/>
          </reference>
          <reference field="1" count="1" selected="0">
            <x v="3"/>
          </reference>
        </references>
      </pivotArea>
    </chartFormat>
    <chartFormat chart="25" format="2613">
      <pivotArea type="data" outline="0" fieldPosition="0">
        <references count="3">
          <reference field="4294967294" count="1" selected="0">
            <x v="3"/>
          </reference>
          <reference field="0" count="1" selected="0">
            <x v="11"/>
          </reference>
          <reference field="1" count="1" selected="0">
            <x v="3"/>
          </reference>
        </references>
      </pivotArea>
    </chartFormat>
    <chartFormat chart="25" format="2614">
      <pivotArea type="data" outline="0" fieldPosition="0">
        <references count="3">
          <reference field="4294967294" count="1" selected="0">
            <x v="3"/>
          </reference>
          <reference field="0" count="1" selected="0">
            <x v="12"/>
          </reference>
          <reference field="1" count="1" selected="0">
            <x v="3"/>
          </reference>
        </references>
      </pivotArea>
    </chartFormat>
    <chartFormat chart="25" format="2615">
      <pivotArea type="data" outline="0" fieldPosition="0">
        <references count="3">
          <reference field="4294967294" count="1" selected="0">
            <x v="3"/>
          </reference>
          <reference field="0" count="1" selected="0">
            <x v="13"/>
          </reference>
          <reference field="1" count="1" selected="0">
            <x v="3"/>
          </reference>
        </references>
      </pivotArea>
    </chartFormat>
    <chartFormat chart="25" format="2616">
      <pivotArea type="data" outline="0" fieldPosition="0">
        <references count="3">
          <reference field="4294967294" count="1" selected="0">
            <x v="3"/>
          </reference>
          <reference field="0" count="1" selected="0">
            <x v="14"/>
          </reference>
          <reference field="1" count="1" selected="0">
            <x v="3"/>
          </reference>
        </references>
      </pivotArea>
    </chartFormat>
    <chartFormat chart="25" format="2617">
      <pivotArea type="data" outline="0" fieldPosition="0">
        <references count="3">
          <reference field="4294967294" count="1" selected="0">
            <x v="3"/>
          </reference>
          <reference field="0" count="1" selected="0">
            <x v="15"/>
          </reference>
          <reference field="1" count="1" selected="0">
            <x v="3"/>
          </reference>
        </references>
      </pivotArea>
    </chartFormat>
    <chartFormat chart="25" format="2618">
      <pivotArea type="data" outline="0" fieldPosition="0">
        <references count="3">
          <reference field="4294967294" count="1" selected="0">
            <x v="3"/>
          </reference>
          <reference field="0" count="1" selected="0">
            <x v="16"/>
          </reference>
          <reference field="1" count="1" selected="0">
            <x v="3"/>
          </reference>
        </references>
      </pivotArea>
    </chartFormat>
    <chartFormat chart="25" format="2619">
      <pivotArea type="data" outline="0" fieldPosition="0">
        <references count="3">
          <reference field="4294967294" count="1" selected="0">
            <x v="3"/>
          </reference>
          <reference field="0" count="1" selected="0">
            <x v="17"/>
          </reference>
          <reference field="1" count="1" selected="0">
            <x v="3"/>
          </reference>
        </references>
      </pivotArea>
    </chartFormat>
    <chartFormat chart="25" format="2620">
      <pivotArea type="data" outline="0" fieldPosition="0">
        <references count="3">
          <reference field="4294967294" count="1" selected="0">
            <x v="3"/>
          </reference>
          <reference field="0" count="1" selected="0">
            <x v="18"/>
          </reference>
          <reference field="1" count="1" selected="0">
            <x v="3"/>
          </reference>
        </references>
      </pivotArea>
    </chartFormat>
    <chartFormat chart="25" format="2621">
      <pivotArea type="data" outline="0" fieldPosition="0">
        <references count="3">
          <reference field="4294967294" count="1" selected="0">
            <x v="3"/>
          </reference>
          <reference field="0" count="1" selected="0">
            <x v="19"/>
          </reference>
          <reference field="1" count="1" selected="0">
            <x v="3"/>
          </reference>
        </references>
      </pivotArea>
    </chartFormat>
    <chartFormat chart="25" format="2622">
      <pivotArea type="data" outline="0" fieldPosition="0">
        <references count="3">
          <reference field="4294967294" count="1" selected="0">
            <x v="3"/>
          </reference>
          <reference field="0" count="1" selected="0">
            <x v="20"/>
          </reference>
          <reference field="1" count="1" selected="0">
            <x v="3"/>
          </reference>
        </references>
      </pivotArea>
    </chartFormat>
    <chartFormat chart="25" format="2623">
      <pivotArea type="data" outline="0" fieldPosition="0">
        <references count="3">
          <reference field="4294967294" count="1" selected="0">
            <x v="3"/>
          </reference>
          <reference field="0" count="1" selected="0">
            <x v="21"/>
          </reference>
          <reference field="1" count="1" selected="0">
            <x v="3"/>
          </reference>
        </references>
      </pivotArea>
    </chartFormat>
    <chartFormat chart="25" format="2624">
      <pivotArea type="data" outline="0" fieldPosition="0">
        <references count="3">
          <reference field="4294967294" count="1" selected="0">
            <x v="3"/>
          </reference>
          <reference field="0" count="1" selected="0">
            <x v="22"/>
          </reference>
          <reference field="1" count="1" selected="0">
            <x v="3"/>
          </reference>
        </references>
      </pivotArea>
    </chartFormat>
    <chartFormat chart="25" format="2625">
      <pivotArea type="data" outline="0" fieldPosition="0">
        <references count="3">
          <reference field="4294967294" count="1" selected="0">
            <x v="3"/>
          </reference>
          <reference field="0" count="1" selected="0">
            <x v="23"/>
          </reference>
          <reference field="1" count="1" selected="0">
            <x v="3"/>
          </reference>
        </references>
      </pivotArea>
    </chartFormat>
    <chartFormat chart="25" format="2626">
      <pivotArea type="data" outline="0" fieldPosition="0">
        <references count="3">
          <reference field="4294967294" count="1" selected="0">
            <x v="3"/>
          </reference>
          <reference field="0" count="1" selected="0">
            <x v="24"/>
          </reference>
          <reference field="1" count="1" selected="0">
            <x v="3"/>
          </reference>
        </references>
      </pivotArea>
    </chartFormat>
    <chartFormat chart="25" format="2627">
      <pivotArea type="data" outline="0" fieldPosition="0">
        <references count="3">
          <reference field="4294967294" count="1" selected="0">
            <x v="3"/>
          </reference>
          <reference field="0" count="1" selected="0">
            <x v="25"/>
          </reference>
          <reference field="1" count="1" selected="0">
            <x v="3"/>
          </reference>
        </references>
      </pivotArea>
    </chartFormat>
    <chartFormat chart="25" format="2628" series="1">
      <pivotArea type="data" outline="0" fieldPosition="0">
        <references count="2">
          <reference field="4294967294" count="1" selected="0">
            <x v="4"/>
          </reference>
          <reference field="1" count="1" selected="0">
            <x v="3"/>
          </reference>
        </references>
      </pivotArea>
    </chartFormat>
    <chartFormat chart="25" format="2629">
      <pivotArea type="data" outline="0" fieldPosition="0">
        <references count="3">
          <reference field="4294967294" count="1" selected="0">
            <x v="4"/>
          </reference>
          <reference field="0" count="1" selected="0">
            <x v="0"/>
          </reference>
          <reference field="1" count="1" selected="0">
            <x v="3"/>
          </reference>
        </references>
      </pivotArea>
    </chartFormat>
    <chartFormat chart="25" format="2630">
      <pivotArea type="data" outline="0" fieldPosition="0">
        <references count="3">
          <reference field="4294967294" count="1" selected="0">
            <x v="4"/>
          </reference>
          <reference field="0" count="1" selected="0">
            <x v="1"/>
          </reference>
          <reference field="1" count="1" selected="0">
            <x v="3"/>
          </reference>
        </references>
      </pivotArea>
    </chartFormat>
    <chartFormat chart="25" format="2631">
      <pivotArea type="data" outline="0" fieldPosition="0">
        <references count="3">
          <reference field="4294967294" count="1" selected="0">
            <x v="4"/>
          </reference>
          <reference field="0" count="1" selected="0">
            <x v="2"/>
          </reference>
          <reference field="1" count="1" selected="0">
            <x v="3"/>
          </reference>
        </references>
      </pivotArea>
    </chartFormat>
    <chartFormat chart="25" format="2632">
      <pivotArea type="data" outline="0" fieldPosition="0">
        <references count="3">
          <reference field="4294967294" count="1" selected="0">
            <x v="4"/>
          </reference>
          <reference field="0" count="1" selected="0">
            <x v="3"/>
          </reference>
          <reference field="1" count="1" selected="0">
            <x v="3"/>
          </reference>
        </references>
      </pivotArea>
    </chartFormat>
    <chartFormat chart="25" format="2633">
      <pivotArea type="data" outline="0" fieldPosition="0">
        <references count="3">
          <reference field="4294967294" count="1" selected="0">
            <x v="4"/>
          </reference>
          <reference field="0" count="1" selected="0">
            <x v="4"/>
          </reference>
          <reference field="1" count="1" selected="0">
            <x v="3"/>
          </reference>
        </references>
      </pivotArea>
    </chartFormat>
    <chartFormat chart="25" format="2634">
      <pivotArea type="data" outline="0" fieldPosition="0">
        <references count="3">
          <reference field="4294967294" count="1" selected="0">
            <x v="4"/>
          </reference>
          <reference field="0" count="1" selected="0">
            <x v="5"/>
          </reference>
          <reference field="1" count="1" selected="0">
            <x v="3"/>
          </reference>
        </references>
      </pivotArea>
    </chartFormat>
    <chartFormat chart="25" format="2635">
      <pivotArea type="data" outline="0" fieldPosition="0">
        <references count="3">
          <reference field="4294967294" count="1" selected="0">
            <x v="4"/>
          </reference>
          <reference field="0" count="1" selected="0">
            <x v="6"/>
          </reference>
          <reference field="1" count="1" selected="0">
            <x v="3"/>
          </reference>
        </references>
      </pivotArea>
    </chartFormat>
    <chartFormat chart="25" format="2636">
      <pivotArea type="data" outline="0" fieldPosition="0">
        <references count="3">
          <reference field="4294967294" count="1" selected="0">
            <x v="4"/>
          </reference>
          <reference field="0" count="1" selected="0">
            <x v="7"/>
          </reference>
          <reference field="1" count="1" selected="0">
            <x v="3"/>
          </reference>
        </references>
      </pivotArea>
    </chartFormat>
    <chartFormat chart="25" format="2637">
      <pivotArea type="data" outline="0" fieldPosition="0">
        <references count="3">
          <reference field="4294967294" count="1" selected="0">
            <x v="4"/>
          </reference>
          <reference field="0" count="1" selected="0">
            <x v="8"/>
          </reference>
          <reference field="1" count="1" selected="0">
            <x v="3"/>
          </reference>
        </references>
      </pivotArea>
    </chartFormat>
    <chartFormat chart="25" format="2638">
      <pivotArea type="data" outline="0" fieldPosition="0">
        <references count="3">
          <reference field="4294967294" count="1" selected="0">
            <x v="4"/>
          </reference>
          <reference field="0" count="1" selected="0">
            <x v="9"/>
          </reference>
          <reference field="1" count="1" selected="0">
            <x v="3"/>
          </reference>
        </references>
      </pivotArea>
    </chartFormat>
    <chartFormat chart="25" format="2639">
      <pivotArea type="data" outline="0" fieldPosition="0">
        <references count="3">
          <reference field="4294967294" count="1" selected="0">
            <x v="4"/>
          </reference>
          <reference field="0" count="1" selected="0">
            <x v="10"/>
          </reference>
          <reference field="1" count="1" selected="0">
            <x v="3"/>
          </reference>
        </references>
      </pivotArea>
    </chartFormat>
    <chartFormat chart="25" format="2640">
      <pivotArea type="data" outline="0" fieldPosition="0">
        <references count="3">
          <reference field="4294967294" count="1" selected="0">
            <x v="4"/>
          </reference>
          <reference field="0" count="1" selected="0">
            <x v="11"/>
          </reference>
          <reference field="1" count="1" selected="0">
            <x v="3"/>
          </reference>
        </references>
      </pivotArea>
    </chartFormat>
    <chartFormat chart="25" format="2641">
      <pivotArea type="data" outline="0" fieldPosition="0">
        <references count="3">
          <reference field="4294967294" count="1" selected="0">
            <x v="4"/>
          </reference>
          <reference field="0" count="1" selected="0">
            <x v="12"/>
          </reference>
          <reference field="1" count="1" selected="0">
            <x v="3"/>
          </reference>
        </references>
      </pivotArea>
    </chartFormat>
    <chartFormat chart="25" format="2642">
      <pivotArea type="data" outline="0" fieldPosition="0">
        <references count="3">
          <reference field="4294967294" count="1" selected="0">
            <x v="4"/>
          </reference>
          <reference field="0" count="1" selected="0">
            <x v="13"/>
          </reference>
          <reference field="1" count="1" selected="0">
            <x v="3"/>
          </reference>
        </references>
      </pivotArea>
    </chartFormat>
    <chartFormat chart="25" format="2643">
      <pivotArea type="data" outline="0" fieldPosition="0">
        <references count="3">
          <reference field="4294967294" count="1" selected="0">
            <x v="4"/>
          </reference>
          <reference field="0" count="1" selected="0">
            <x v="14"/>
          </reference>
          <reference field="1" count="1" selected="0">
            <x v="3"/>
          </reference>
        </references>
      </pivotArea>
    </chartFormat>
    <chartFormat chart="25" format="2644">
      <pivotArea type="data" outline="0" fieldPosition="0">
        <references count="3">
          <reference field="4294967294" count="1" selected="0">
            <x v="4"/>
          </reference>
          <reference field="0" count="1" selected="0">
            <x v="15"/>
          </reference>
          <reference field="1" count="1" selected="0">
            <x v="3"/>
          </reference>
        </references>
      </pivotArea>
    </chartFormat>
    <chartFormat chart="25" format="2645">
      <pivotArea type="data" outline="0" fieldPosition="0">
        <references count="3">
          <reference field="4294967294" count="1" selected="0">
            <x v="4"/>
          </reference>
          <reference field="0" count="1" selected="0">
            <x v="16"/>
          </reference>
          <reference field="1" count="1" selected="0">
            <x v="3"/>
          </reference>
        </references>
      </pivotArea>
    </chartFormat>
    <chartFormat chart="25" format="2646">
      <pivotArea type="data" outline="0" fieldPosition="0">
        <references count="3">
          <reference field="4294967294" count="1" selected="0">
            <x v="4"/>
          </reference>
          <reference field="0" count="1" selected="0">
            <x v="17"/>
          </reference>
          <reference field="1" count="1" selected="0">
            <x v="3"/>
          </reference>
        </references>
      </pivotArea>
    </chartFormat>
    <chartFormat chart="25" format="2647">
      <pivotArea type="data" outline="0" fieldPosition="0">
        <references count="3">
          <reference field="4294967294" count="1" selected="0">
            <x v="4"/>
          </reference>
          <reference field="0" count="1" selected="0">
            <x v="18"/>
          </reference>
          <reference field="1" count="1" selected="0">
            <x v="3"/>
          </reference>
        </references>
      </pivotArea>
    </chartFormat>
    <chartFormat chart="25" format="2648">
      <pivotArea type="data" outline="0" fieldPosition="0">
        <references count="3">
          <reference field="4294967294" count="1" selected="0">
            <x v="4"/>
          </reference>
          <reference field="0" count="1" selected="0">
            <x v="19"/>
          </reference>
          <reference field="1" count="1" selected="0">
            <x v="3"/>
          </reference>
        </references>
      </pivotArea>
    </chartFormat>
    <chartFormat chart="25" format="2649">
      <pivotArea type="data" outline="0" fieldPosition="0">
        <references count="3">
          <reference field="4294967294" count="1" selected="0">
            <x v="4"/>
          </reference>
          <reference field="0" count="1" selected="0">
            <x v="20"/>
          </reference>
          <reference field="1" count="1" selected="0">
            <x v="3"/>
          </reference>
        </references>
      </pivotArea>
    </chartFormat>
    <chartFormat chart="25" format="2650">
      <pivotArea type="data" outline="0" fieldPosition="0">
        <references count="3">
          <reference field="4294967294" count="1" selected="0">
            <x v="4"/>
          </reference>
          <reference field="0" count="1" selected="0">
            <x v="21"/>
          </reference>
          <reference field="1" count="1" selected="0">
            <x v="3"/>
          </reference>
        </references>
      </pivotArea>
    </chartFormat>
    <chartFormat chart="25" format="2651">
      <pivotArea type="data" outline="0" fieldPosition="0">
        <references count="3">
          <reference field="4294967294" count="1" selected="0">
            <x v="4"/>
          </reference>
          <reference field="0" count="1" selected="0">
            <x v="22"/>
          </reference>
          <reference field="1" count="1" selected="0">
            <x v="3"/>
          </reference>
        </references>
      </pivotArea>
    </chartFormat>
    <chartFormat chart="25" format="2652">
      <pivotArea type="data" outline="0" fieldPosition="0">
        <references count="3">
          <reference field="4294967294" count="1" selected="0">
            <x v="4"/>
          </reference>
          <reference field="0" count="1" selected="0">
            <x v="23"/>
          </reference>
          <reference field="1" count="1" selected="0">
            <x v="3"/>
          </reference>
        </references>
      </pivotArea>
    </chartFormat>
    <chartFormat chart="25" format="2653">
      <pivotArea type="data" outline="0" fieldPosition="0">
        <references count="3">
          <reference field="4294967294" count="1" selected="0">
            <x v="4"/>
          </reference>
          <reference field="0" count="1" selected="0">
            <x v="24"/>
          </reference>
          <reference field="1" count="1" selected="0">
            <x v="3"/>
          </reference>
        </references>
      </pivotArea>
    </chartFormat>
    <chartFormat chart="25" format="2654">
      <pivotArea type="data" outline="0" fieldPosition="0">
        <references count="3">
          <reference field="4294967294" count="1" selected="0">
            <x v="4"/>
          </reference>
          <reference field="0" count="1" selected="0">
            <x v="25"/>
          </reference>
          <reference field="1" count="1" selected="0">
            <x v="3"/>
          </reference>
        </references>
      </pivotArea>
    </chartFormat>
    <chartFormat chart="25" format="2655" series="1">
      <pivotArea type="data" outline="0" fieldPosition="0">
        <references count="2">
          <reference field="4294967294" count="1" selected="0">
            <x v="0"/>
          </reference>
          <reference field="1" count="1" selected="0">
            <x v="4"/>
          </reference>
        </references>
      </pivotArea>
    </chartFormat>
    <chartFormat chart="25" format="2656">
      <pivotArea type="data" outline="0" fieldPosition="0">
        <references count="3">
          <reference field="4294967294" count="1" selected="0">
            <x v="0"/>
          </reference>
          <reference field="0" count="1" selected="0">
            <x v="0"/>
          </reference>
          <reference field="1" count="1" selected="0">
            <x v="4"/>
          </reference>
        </references>
      </pivotArea>
    </chartFormat>
    <chartFormat chart="25" format="2657">
      <pivotArea type="data" outline="0" fieldPosition="0">
        <references count="3">
          <reference field="4294967294" count="1" selected="0">
            <x v="0"/>
          </reference>
          <reference field="0" count="1" selected="0">
            <x v="1"/>
          </reference>
          <reference field="1" count="1" selected="0">
            <x v="4"/>
          </reference>
        </references>
      </pivotArea>
    </chartFormat>
    <chartFormat chart="25" format="2658">
      <pivotArea type="data" outline="0" fieldPosition="0">
        <references count="3">
          <reference field="4294967294" count="1" selected="0">
            <x v="0"/>
          </reference>
          <reference field="0" count="1" selected="0">
            <x v="2"/>
          </reference>
          <reference field="1" count="1" selected="0">
            <x v="4"/>
          </reference>
        </references>
      </pivotArea>
    </chartFormat>
    <chartFormat chart="25" format="2659">
      <pivotArea type="data" outline="0" fieldPosition="0">
        <references count="3">
          <reference field="4294967294" count="1" selected="0">
            <x v="0"/>
          </reference>
          <reference field="0" count="1" selected="0">
            <x v="3"/>
          </reference>
          <reference field="1" count="1" selected="0">
            <x v="4"/>
          </reference>
        </references>
      </pivotArea>
    </chartFormat>
    <chartFormat chart="25" format="2660">
      <pivotArea type="data" outline="0" fieldPosition="0">
        <references count="3">
          <reference field="4294967294" count="1" selected="0">
            <x v="0"/>
          </reference>
          <reference field="0" count="1" selected="0">
            <x v="4"/>
          </reference>
          <reference field="1" count="1" selected="0">
            <x v="4"/>
          </reference>
        </references>
      </pivotArea>
    </chartFormat>
    <chartFormat chart="25" format="2661">
      <pivotArea type="data" outline="0" fieldPosition="0">
        <references count="3">
          <reference field="4294967294" count="1" selected="0">
            <x v="0"/>
          </reference>
          <reference field="0" count="1" selected="0">
            <x v="5"/>
          </reference>
          <reference field="1" count="1" selected="0">
            <x v="4"/>
          </reference>
        </references>
      </pivotArea>
    </chartFormat>
    <chartFormat chart="25" format="2662">
      <pivotArea type="data" outline="0" fieldPosition="0">
        <references count="3">
          <reference field="4294967294" count="1" selected="0">
            <x v="0"/>
          </reference>
          <reference field="0" count="1" selected="0">
            <x v="6"/>
          </reference>
          <reference field="1" count="1" selected="0">
            <x v="4"/>
          </reference>
        </references>
      </pivotArea>
    </chartFormat>
    <chartFormat chart="25" format="2663">
      <pivotArea type="data" outline="0" fieldPosition="0">
        <references count="3">
          <reference field="4294967294" count="1" selected="0">
            <x v="0"/>
          </reference>
          <reference field="0" count="1" selected="0">
            <x v="7"/>
          </reference>
          <reference field="1" count="1" selected="0">
            <x v="4"/>
          </reference>
        </references>
      </pivotArea>
    </chartFormat>
    <chartFormat chart="25" format="2664">
      <pivotArea type="data" outline="0" fieldPosition="0">
        <references count="3">
          <reference field="4294967294" count="1" selected="0">
            <x v="0"/>
          </reference>
          <reference field="0" count="1" selected="0">
            <x v="8"/>
          </reference>
          <reference field="1" count="1" selected="0">
            <x v="4"/>
          </reference>
        </references>
      </pivotArea>
    </chartFormat>
    <chartFormat chart="25" format="2665">
      <pivotArea type="data" outline="0" fieldPosition="0">
        <references count="3">
          <reference field="4294967294" count="1" selected="0">
            <x v="0"/>
          </reference>
          <reference field="0" count="1" selected="0">
            <x v="9"/>
          </reference>
          <reference field="1" count="1" selected="0">
            <x v="4"/>
          </reference>
        </references>
      </pivotArea>
    </chartFormat>
    <chartFormat chart="25" format="2666">
      <pivotArea type="data" outline="0" fieldPosition="0">
        <references count="3">
          <reference field="4294967294" count="1" selected="0">
            <x v="0"/>
          </reference>
          <reference field="0" count="1" selected="0">
            <x v="10"/>
          </reference>
          <reference field="1" count="1" selected="0">
            <x v="4"/>
          </reference>
        </references>
      </pivotArea>
    </chartFormat>
    <chartFormat chart="25" format="2667">
      <pivotArea type="data" outline="0" fieldPosition="0">
        <references count="3">
          <reference field="4294967294" count="1" selected="0">
            <x v="0"/>
          </reference>
          <reference field="0" count="1" selected="0">
            <x v="11"/>
          </reference>
          <reference field="1" count="1" selected="0">
            <x v="4"/>
          </reference>
        </references>
      </pivotArea>
    </chartFormat>
    <chartFormat chart="25" format="2668">
      <pivotArea type="data" outline="0" fieldPosition="0">
        <references count="3">
          <reference field="4294967294" count="1" selected="0">
            <x v="0"/>
          </reference>
          <reference field="0" count="1" selected="0">
            <x v="12"/>
          </reference>
          <reference field="1" count="1" selected="0">
            <x v="4"/>
          </reference>
        </references>
      </pivotArea>
    </chartFormat>
    <chartFormat chart="25" format="2669">
      <pivotArea type="data" outline="0" fieldPosition="0">
        <references count="3">
          <reference field="4294967294" count="1" selected="0">
            <x v="0"/>
          </reference>
          <reference field="0" count="1" selected="0">
            <x v="13"/>
          </reference>
          <reference field="1" count="1" selected="0">
            <x v="4"/>
          </reference>
        </references>
      </pivotArea>
    </chartFormat>
    <chartFormat chart="25" format="2670">
      <pivotArea type="data" outline="0" fieldPosition="0">
        <references count="3">
          <reference field="4294967294" count="1" selected="0">
            <x v="0"/>
          </reference>
          <reference field="0" count="1" selected="0">
            <x v="14"/>
          </reference>
          <reference field="1" count="1" selected="0">
            <x v="4"/>
          </reference>
        </references>
      </pivotArea>
    </chartFormat>
    <chartFormat chart="25" format="2671">
      <pivotArea type="data" outline="0" fieldPosition="0">
        <references count="3">
          <reference field="4294967294" count="1" selected="0">
            <x v="0"/>
          </reference>
          <reference field="0" count="1" selected="0">
            <x v="15"/>
          </reference>
          <reference field="1" count="1" selected="0">
            <x v="4"/>
          </reference>
        </references>
      </pivotArea>
    </chartFormat>
    <chartFormat chart="25" format="2672">
      <pivotArea type="data" outline="0" fieldPosition="0">
        <references count="3">
          <reference field="4294967294" count="1" selected="0">
            <x v="0"/>
          </reference>
          <reference field="0" count="1" selected="0">
            <x v="16"/>
          </reference>
          <reference field="1" count="1" selected="0">
            <x v="4"/>
          </reference>
        </references>
      </pivotArea>
    </chartFormat>
    <chartFormat chart="25" format="2673">
      <pivotArea type="data" outline="0" fieldPosition="0">
        <references count="3">
          <reference field="4294967294" count="1" selected="0">
            <x v="0"/>
          </reference>
          <reference field="0" count="1" selected="0">
            <x v="17"/>
          </reference>
          <reference field="1" count="1" selected="0">
            <x v="4"/>
          </reference>
        </references>
      </pivotArea>
    </chartFormat>
    <chartFormat chart="25" format="2674">
      <pivotArea type="data" outline="0" fieldPosition="0">
        <references count="3">
          <reference field="4294967294" count="1" selected="0">
            <x v="0"/>
          </reference>
          <reference field="0" count="1" selected="0">
            <x v="18"/>
          </reference>
          <reference field="1" count="1" selected="0">
            <x v="4"/>
          </reference>
        </references>
      </pivotArea>
    </chartFormat>
    <chartFormat chart="25" format="2675">
      <pivotArea type="data" outline="0" fieldPosition="0">
        <references count="3">
          <reference field="4294967294" count="1" selected="0">
            <x v="0"/>
          </reference>
          <reference field="0" count="1" selected="0">
            <x v="19"/>
          </reference>
          <reference field="1" count="1" selected="0">
            <x v="4"/>
          </reference>
        </references>
      </pivotArea>
    </chartFormat>
    <chartFormat chart="25" format="2676">
      <pivotArea type="data" outline="0" fieldPosition="0">
        <references count="3">
          <reference field="4294967294" count="1" selected="0">
            <x v="0"/>
          </reference>
          <reference field="0" count="1" selected="0">
            <x v="20"/>
          </reference>
          <reference field="1" count="1" selected="0">
            <x v="4"/>
          </reference>
        </references>
      </pivotArea>
    </chartFormat>
    <chartFormat chart="25" format="2677">
      <pivotArea type="data" outline="0" fieldPosition="0">
        <references count="3">
          <reference field="4294967294" count="1" selected="0">
            <x v="0"/>
          </reference>
          <reference field="0" count="1" selected="0">
            <x v="21"/>
          </reference>
          <reference field="1" count="1" selected="0">
            <x v="4"/>
          </reference>
        </references>
      </pivotArea>
    </chartFormat>
    <chartFormat chart="25" format="2678">
      <pivotArea type="data" outline="0" fieldPosition="0">
        <references count="3">
          <reference field="4294967294" count="1" selected="0">
            <x v="0"/>
          </reference>
          <reference field="0" count="1" selected="0">
            <x v="22"/>
          </reference>
          <reference field="1" count="1" selected="0">
            <x v="4"/>
          </reference>
        </references>
      </pivotArea>
    </chartFormat>
    <chartFormat chart="25" format="2679">
      <pivotArea type="data" outline="0" fieldPosition="0">
        <references count="3">
          <reference field="4294967294" count="1" selected="0">
            <x v="0"/>
          </reference>
          <reference field="0" count="1" selected="0">
            <x v="23"/>
          </reference>
          <reference field="1" count="1" selected="0">
            <x v="4"/>
          </reference>
        </references>
      </pivotArea>
    </chartFormat>
    <chartFormat chart="25" format="2680">
      <pivotArea type="data" outline="0" fieldPosition="0">
        <references count="3">
          <reference field="4294967294" count="1" selected="0">
            <x v="0"/>
          </reference>
          <reference field="0" count="1" selected="0">
            <x v="24"/>
          </reference>
          <reference field="1" count="1" selected="0">
            <x v="4"/>
          </reference>
        </references>
      </pivotArea>
    </chartFormat>
    <chartFormat chart="25" format="2681">
      <pivotArea type="data" outline="0" fieldPosition="0">
        <references count="3">
          <reference field="4294967294" count="1" selected="0">
            <x v="0"/>
          </reference>
          <reference field="0" count="1" selected="0">
            <x v="25"/>
          </reference>
          <reference field="1" count="1" selected="0">
            <x v="4"/>
          </reference>
        </references>
      </pivotArea>
    </chartFormat>
    <chartFormat chart="25" format="2682" series="1">
      <pivotArea type="data" outline="0" fieldPosition="0">
        <references count="2">
          <reference field="4294967294" count="1" selected="0">
            <x v="1"/>
          </reference>
          <reference field="1" count="1" selected="0">
            <x v="4"/>
          </reference>
        </references>
      </pivotArea>
    </chartFormat>
    <chartFormat chart="25" format="2683">
      <pivotArea type="data" outline="0" fieldPosition="0">
        <references count="3">
          <reference field="4294967294" count="1" selected="0">
            <x v="1"/>
          </reference>
          <reference field="0" count="1" selected="0">
            <x v="0"/>
          </reference>
          <reference field="1" count="1" selected="0">
            <x v="4"/>
          </reference>
        </references>
      </pivotArea>
    </chartFormat>
    <chartFormat chart="25" format="2684">
      <pivotArea type="data" outline="0" fieldPosition="0">
        <references count="3">
          <reference field="4294967294" count="1" selected="0">
            <x v="1"/>
          </reference>
          <reference field="0" count="1" selected="0">
            <x v="1"/>
          </reference>
          <reference field="1" count="1" selected="0">
            <x v="4"/>
          </reference>
        </references>
      </pivotArea>
    </chartFormat>
    <chartFormat chart="25" format="2685">
      <pivotArea type="data" outline="0" fieldPosition="0">
        <references count="3">
          <reference field="4294967294" count="1" selected="0">
            <x v="1"/>
          </reference>
          <reference field="0" count="1" selected="0">
            <x v="2"/>
          </reference>
          <reference field="1" count="1" selected="0">
            <x v="4"/>
          </reference>
        </references>
      </pivotArea>
    </chartFormat>
    <chartFormat chart="25" format="2686">
      <pivotArea type="data" outline="0" fieldPosition="0">
        <references count="3">
          <reference field="4294967294" count="1" selected="0">
            <x v="1"/>
          </reference>
          <reference field="0" count="1" selected="0">
            <x v="3"/>
          </reference>
          <reference field="1" count="1" selected="0">
            <x v="4"/>
          </reference>
        </references>
      </pivotArea>
    </chartFormat>
    <chartFormat chart="25" format="2687">
      <pivotArea type="data" outline="0" fieldPosition="0">
        <references count="3">
          <reference field="4294967294" count="1" selected="0">
            <x v="1"/>
          </reference>
          <reference field="0" count="1" selected="0">
            <x v="4"/>
          </reference>
          <reference field="1" count="1" selected="0">
            <x v="4"/>
          </reference>
        </references>
      </pivotArea>
    </chartFormat>
    <chartFormat chart="25" format="2688">
      <pivotArea type="data" outline="0" fieldPosition="0">
        <references count="3">
          <reference field="4294967294" count="1" selected="0">
            <x v="1"/>
          </reference>
          <reference field="0" count="1" selected="0">
            <x v="5"/>
          </reference>
          <reference field="1" count="1" selected="0">
            <x v="4"/>
          </reference>
        </references>
      </pivotArea>
    </chartFormat>
    <chartFormat chart="25" format="2689">
      <pivotArea type="data" outline="0" fieldPosition="0">
        <references count="3">
          <reference field="4294967294" count="1" selected="0">
            <x v="1"/>
          </reference>
          <reference field="0" count="1" selected="0">
            <x v="6"/>
          </reference>
          <reference field="1" count="1" selected="0">
            <x v="4"/>
          </reference>
        </references>
      </pivotArea>
    </chartFormat>
    <chartFormat chart="25" format="2690">
      <pivotArea type="data" outline="0" fieldPosition="0">
        <references count="3">
          <reference field="4294967294" count="1" selected="0">
            <x v="1"/>
          </reference>
          <reference field="0" count="1" selected="0">
            <x v="7"/>
          </reference>
          <reference field="1" count="1" selected="0">
            <x v="4"/>
          </reference>
        </references>
      </pivotArea>
    </chartFormat>
    <chartFormat chart="25" format="2691">
      <pivotArea type="data" outline="0" fieldPosition="0">
        <references count="3">
          <reference field="4294967294" count="1" selected="0">
            <x v="1"/>
          </reference>
          <reference field="0" count="1" selected="0">
            <x v="8"/>
          </reference>
          <reference field="1" count="1" selected="0">
            <x v="4"/>
          </reference>
        </references>
      </pivotArea>
    </chartFormat>
    <chartFormat chart="25" format="2692">
      <pivotArea type="data" outline="0" fieldPosition="0">
        <references count="3">
          <reference field="4294967294" count="1" selected="0">
            <x v="1"/>
          </reference>
          <reference field="0" count="1" selected="0">
            <x v="9"/>
          </reference>
          <reference field="1" count="1" selected="0">
            <x v="4"/>
          </reference>
        </references>
      </pivotArea>
    </chartFormat>
    <chartFormat chart="25" format="2693">
      <pivotArea type="data" outline="0" fieldPosition="0">
        <references count="3">
          <reference field="4294967294" count="1" selected="0">
            <x v="1"/>
          </reference>
          <reference field="0" count="1" selected="0">
            <x v="10"/>
          </reference>
          <reference field="1" count="1" selected="0">
            <x v="4"/>
          </reference>
        </references>
      </pivotArea>
    </chartFormat>
    <chartFormat chart="25" format="2694">
      <pivotArea type="data" outline="0" fieldPosition="0">
        <references count="3">
          <reference field="4294967294" count="1" selected="0">
            <x v="1"/>
          </reference>
          <reference field="0" count="1" selected="0">
            <x v="11"/>
          </reference>
          <reference field="1" count="1" selected="0">
            <x v="4"/>
          </reference>
        </references>
      </pivotArea>
    </chartFormat>
    <chartFormat chart="25" format="2695">
      <pivotArea type="data" outline="0" fieldPosition="0">
        <references count="3">
          <reference field="4294967294" count="1" selected="0">
            <x v="1"/>
          </reference>
          <reference field="0" count="1" selected="0">
            <x v="12"/>
          </reference>
          <reference field="1" count="1" selected="0">
            <x v="4"/>
          </reference>
        </references>
      </pivotArea>
    </chartFormat>
    <chartFormat chart="25" format="2696">
      <pivotArea type="data" outline="0" fieldPosition="0">
        <references count="3">
          <reference field="4294967294" count="1" selected="0">
            <x v="1"/>
          </reference>
          <reference field="0" count="1" selected="0">
            <x v="13"/>
          </reference>
          <reference field="1" count="1" selected="0">
            <x v="4"/>
          </reference>
        </references>
      </pivotArea>
    </chartFormat>
    <chartFormat chart="25" format="2697">
      <pivotArea type="data" outline="0" fieldPosition="0">
        <references count="3">
          <reference field="4294967294" count="1" selected="0">
            <x v="1"/>
          </reference>
          <reference field="0" count="1" selected="0">
            <x v="14"/>
          </reference>
          <reference field="1" count="1" selected="0">
            <x v="4"/>
          </reference>
        </references>
      </pivotArea>
    </chartFormat>
    <chartFormat chart="25" format="2698">
      <pivotArea type="data" outline="0" fieldPosition="0">
        <references count="3">
          <reference field="4294967294" count="1" selected="0">
            <x v="1"/>
          </reference>
          <reference field="0" count="1" selected="0">
            <x v="15"/>
          </reference>
          <reference field="1" count="1" selected="0">
            <x v="4"/>
          </reference>
        </references>
      </pivotArea>
    </chartFormat>
    <chartFormat chart="25" format="2699">
      <pivotArea type="data" outline="0" fieldPosition="0">
        <references count="3">
          <reference field="4294967294" count="1" selected="0">
            <x v="1"/>
          </reference>
          <reference field="0" count="1" selected="0">
            <x v="16"/>
          </reference>
          <reference field="1" count="1" selected="0">
            <x v="4"/>
          </reference>
        </references>
      </pivotArea>
    </chartFormat>
    <chartFormat chart="25" format="2700">
      <pivotArea type="data" outline="0" fieldPosition="0">
        <references count="3">
          <reference field="4294967294" count="1" selected="0">
            <x v="1"/>
          </reference>
          <reference field="0" count="1" selected="0">
            <x v="17"/>
          </reference>
          <reference field="1" count="1" selected="0">
            <x v="4"/>
          </reference>
        </references>
      </pivotArea>
    </chartFormat>
    <chartFormat chart="25" format="2701">
      <pivotArea type="data" outline="0" fieldPosition="0">
        <references count="3">
          <reference field="4294967294" count="1" selected="0">
            <x v="1"/>
          </reference>
          <reference field="0" count="1" selected="0">
            <x v="18"/>
          </reference>
          <reference field="1" count="1" selected="0">
            <x v="4"/>
          </reference>
        </references>
      </pivotArea>
    </chartFormat>
    <chartFormat chart="25" format="2702">
      <pivotArea type="data" outline="0" fieldPosition="0">
        <references count="3">
          <reference field="4294967294" count="1" selected="0">
            <x v="1"/>
          </reference>
          <reference field="0" count="1" selected="0">
            <x v="19"/>
          </reference>
          <reference field="1" count="1" selected="0">
            <x v="4"/>
          </reference>
        </references>
      </pivotArea>
    </chartFormat>
    <chartFormat chart="25" format="2703">
      <pivotArea type="data" outline="0" fieldPosition="0">
        <references count="3">
          <reference field="4294967294" count="1" selected="0">
            <x v="1"/>
          </reference>
          <reference field="0" count="1" selected="0">
            <x v="20"/>
          </reference>
          <reference field="1" count="1" selected="0">
            <x v="4"/>
          </reference>
        </references>
      </pivotArea>
    </chartFormat>
    <chartFormat chart="25" format="2704">
      <pivotArea type="data" outline="0" fieldPosition="0">
        <references count="3">
          <reference field="4294967294" count="1" selected="0">
            <x v="1"/>
          </reference>
          <reference field="0" count="1" selected="0">
            <x v="21"/>
          </reference>
          <reference field="1" count="1" selected="0">
            <x v="4"/>
          </reference>
        </references>
      </pivotArea>
    </chartFormat>
    <chartFormat chart="25" format="2705">
      <pivotArea type="data" outline="0" fieldPosition="0">
        <references count="3">
          <reference field="4294967294" count="1" selected="0">
            <x v="1"/>
          </reference>
          <reference field="0" count="1" selected="0">
            <x v="22"/>
          </reference>
          <reference field="1" count="1" selected="0">
            <x v="4"/>
          </reference>
        </references>
      </pivotArea>
    </chartFormat>
    <chartFormat chart="25" format="2706">
      <pivotArea type="data" outline="0" fieldPosition="0">
        <references count="3">
          <reference field="4294967294" count="1" selected="0">
            <x v="1"/>
          </reference>
          <reference field="0" count="1" selected="0">
            <x v="23"/>
          </reference>
          <reference field="1" count="1" selected="0">
            <x v="4"/>
          </reference>
        </references>
      </pivotArea>
    </chartFormat>
    <chartFormat chart="25" format="2707">
      <pivotArea type="data" outline="0" fieldPosition="0">
        <references count="3">
          <reference field="4294967294" count="1" selected="0">
            <x v="1"/>
          </reference>
          <reference field="0" count="1" selected="0">
            <x v="24"/>
          </reference>
          <reference field="1" count="1" selected="0">
            <x v="4"/>
          </reference>
        </references>
      </pivotArea>
    </chartFormat>
    <chartFormat chart="25" format="2708">
      <pivotArea type="data" outline="0" fieldPosition="0">
        <references count="3">
          <reference field="4294967294" count="1" selected="0">
            <x v="1"/>
          </reference>
          <reference field="0" count="1" selected="0">
            <x v="25"/>
          </reference>
          <reference field="1" count="1" selected="0">
            <x v="4"/>
          </reference>
        </references>
      </pivotArea>
    </chartFormat>
    <chartFormat chart="25" format="2709" series="1">
      <pivotArea type="data" outline="0" fieldPosition="0">
        <references count="2">
          <reference field="4294967294" count="1" selected="0">
            <x v="2"/>
          </reference>
          <reference field="1" count="1" selected="0">
            <x v="4"/>
          </reference>
        </references>
      </pivotArea>
    </chartFormat>
    <chartFormat chart="25" format="2710">
      <pivotArea type="data" outline="0" fieldPosition="0">
        <references count="3">
          <reference field="4294967294" count="1" selected="0">
            <x v="2"/>
          </reference>
          <reference field="0" count="1" selected="0">
            <x v="0"/>
          </reference>
          <reference field="1" count="1" selected="0">
            <x v="4"/>
          </reference>
        </references>
      </pivotArea>
    </chartFormat>
    <chartFormat chart="25" format="2711">
      <pivotArea type="data" outline="0" fieldPosition="0">
        <references count="3">
          <reference field="4294967294" count="1" selected="0">
            <x v="2"/>
          </reference>
          <reference field="0" count="1" selected="0">
            <x v="1"/>
          </reference>
          <reference field="1" count="1" selected="0">
            <x v="4"/>
          </reference>
        </references>
      </pivotArea>
    </chartFormat>
    <chartFormat chart="25" format="2712">
      <pivotArea type="data" outline="0" fieldPosition="0">
        <references count="3">
          <reference field="4294967294" count="1" selected="0">
            <x v="2"/>
          </reference>
          <reference field="0" count="1" selected="0">
            <x v="2"/>
          </reference>
          <reference field="1" count="1" selected="0">
            <x v="4"/>
          </reference>
        </references>
      </pivotArea>
    </chartFormat>
    <chartFormat chart="25" format="2713">
      <pivotArea type="data" outline="0" fieldPosition="0">
        <references count="3">
          <reference field="4294967294" count="1" selected="0">
            <x v="2"/>
          </reference>
          <reference field="0" count="1" selected="0">
            <x v="3"/>
          </reference>
          <reference field="1" count="1" selected="0">
            <x v="4"/>
          </reference>
        </references>
      </pivotArea>
    </chartFormat>
    <chartFormat chart="25" format="2714">
      <pivotArea type="data" outline="0" fieldPosition="0">
        <references count="3">
          <reference field="4294967294" count="1" selected="0">
            <x v="2"/>
          </reference>
          <reference field="0" count="1" selected="0">
            <x v="4"/>
          </reference>
          <reference field="1" count="1" selected="0">
            <x v="4"/>
          </reference>
        </references>
      </pivotArea>
    </chartFormat>
    <chartFormat chart="25" format="2715">
      <pivotArea type="data" outline="0" fieldPosition="0">
        <references count="3">
          <reference field="4294967294" count="1" selected="0">
            <x v="2"/>
          </reference>
          <reference field="0" count="1" selected="0">
            <x v="5"/>
          </reference>
          <reference field="1" count="1" selected="0">
            <x v="4"/>
          </reference>
        </references>
      </pivotArea>
    </chartFormat>
    <chartFormat chart="25" format="2716">
      <pivotArea type="data" outline="0" fieldPosition="0">
        <references count="3">
          <reference field="4294967294" count="1" selected="0">
            <x v="2"/>
          </reference>
          <reference field="0" count="1" selected="0">
            <x v="6"/>
          </reference>
          <reference field="1" count="1" selected="0">
            <x v="4"/>
          </reference>
        </references>
      </pivotArea>
    </chartFormat>
    <chartFormat chart="25" format="2717">
      <pivotArea type="data" outline="0" fieldPosition="0">
        <references count="3">
          <reference field="4294967294" count="1" selected="0">
            <x v="2"/>
          </reference>
          <reference field="0" count="1" selected="0">
            <x v="7"/>
          </reference>
          <reference field="1" count="1" selected="0">
            <x v="4"/>
          </reference>
        </references>
      </pivotArea>
    </chartFormat>
    <chartFormat chart="25" format="2718">
      <pivotArea type="data" outline="0" fieldPosition="0">
        <references count="3">
          <reference field="4294967294" count="1" selected="0">
            <x v="2"/>
          </reference>
          <reference field="0" count="1" selected="0">
            <x v="8"/>
          </reference>
          <reference field="1" count="1" selected="0">
            <x v="4"/>
          </reference>
        </references>
      </pivotArea>
    </chartFormat>
    <chartFormat chart="25" format="2719">
      <pivotArea type="data" outline="0" fieldPosition="0">
        <references count="3">
          <reference field="4294967294" count="1" selected="0">
            <x v="2"/>
          </reference>
          <reference field="0" count="1" selected="0">
            <x v="9"/>
          </reference>
          <reference field="1" count="1" selected="0">
            <x v="4"/>
          </reference>
        </references>
      </pivotArea>
    </chartFormat>
    <chartFormat chart="25" format="2720">
      <pivotArea type="data" outline="0" fieldPosition="0">
        <references count="3">
          <reference field="4294967294" count="1" selected="0">
            <x v="2"/>
          </reference>
          <reference field="0" count="1" selected="0">
            <x v="10"/>
          </reference>
          <reference field="1" count="1" selected="0">
            <x v="4"/>
          </reference>
        </references>
      </pivotArea>
    </chartFormat>
    <chartFormat chart="25" format="2721">
      <pivotArea type="data" outline="0" fieldPosition="0">
        <references count="3">
          <reference field="4294967294" count="1" selected="0">
            <x v="2"/>
          </reference>
          <reference field="0" count="1" selected="0">
            <x v="11"/>
          </reference>
          <reference field="1" count="1" selected="0">
            <x v="4"/>
          </reference>
        </references>
      </pivotArea>
    </chartFormat>
    <chartFormat chart="25" format="2722">
      <pivotArea type="data" outline="0" fieldPosition="0">
        <references count="3">
          <reference field="4294967294" count="1" selected="0">
            <x v="2"/>
          </reference>
          <reference field="0" count="1" selected="0">
            <x v="12"/>
          </reference>
          <reference field="1" count="1" selected="0">
            <x v="4"/>
          </reference>
        </references>
      </pivotArea>
    </chartFormat>
    <chartFormat chart="25" format="2723">
      <pivotArea type="data" outline="0" fieldPosition="0">
        <references count="3">
          <reference field="4294967294" count="1" selected="0">
            <x v="2"/>
          </reference>
          <reference field="0" count="1" selected="0">
            <x v="13"/>
          </reference>
          <reference field="1" count="1" selected="0">
            <x v="4"/>
          </reference>
        </references>
      </pivotArea>
    </chartFormat>
    <chartFormat chart="25" format="2724">
      <pivotArea type="data" outline="0" fieldPosition="0">
        <references count="3">
          <reference field="4294967294" count="1" selected="0">
            <x v="2"/>
          </reference>
          <reference field="0" count="1" selected="0">
            <x v="14"/>
          </reference>
          <reference field="1" count="1" selected="0">
            <x v="4"/>
          </reference>
        </references>
      </pivotArea>
    </chartFormat>
    <chartFormat chart="25" format="2725">
      <pivotArea type="data" outline="0" fieldPosition="0">
        <references count="3">
          <reference field="4294967294" count="1" selected="0">
            <x v="2"/>
          </reference>
          <reference field="0" count="1" selected="0">
            <x v="15"/>
          </reference>
          <reference field="1" count="1" selected="0">
            <x v="4"/>
          </reference>
        </references>
      </pivotArea>
    </chartFormat>
    <chartFormat chart="25" format="2726">
      <pivotArea type="data" outline="0" fieldPosition="0">
        <references count="3">
          <reference field="4294967294" count="1" selected="0">
            <x v="2"/>
          </reference>
          <reference field="0" count="1" selected="0">
            <x v="16"/>
          </reference>
          <reference field="1" count="1" selected="0">
            <x v="4"/>
          </reference>
        </references>
      </pivotArea>
    </chartFormat>
    <chartFormat chart="25" format="2727">
      <pivotArea type="data" outline="0" fieldPosition="0">
        <references count="3">
          <reference field="4294967294" count="1" selected="0">
            <x v="2"/>
          </reference>
          <reference field="0" count="1" selected="0">
            <x v="17"/>
          </reference>
          <reference field="1" count="1" selected="0">
            <x v="4"/>
          </reference>
        </references>
      </pivotArea>
    </chartFormat>
    <chartFormat chart="25" format="2728">
      <pivotArea type="data" outline="0" fieldPosition="0">
        <references count="3">
          <reference field="4294967294" count="1" selected="0">
            <x v="2"/>
          </reference>
          <reference field="0" count="1" selected="0">
            <x v="18"/>
          </reference>
          <reference field="1" count="1" selected="0">
            <x v="4"/>
          </reference>
        </references>
      </pivotArea>
    </chartFormat>
    <chartFormat chart="25" format="2729">
      <pivotArea type="data" outline="0" fieldPosition="0">
        <references count="3">
          <reference field="4294967294" count="1" selected="0">
            <x v="2"/>
          </reference>
          <reference field="0" count="1" selected="0">
            <x v="19"/>
          </reference>
          <reference field="1" count="1" selected="0">
            <x v="4"/>
          </reference>
        </references>
      </pivotArea>
    </chartFormat>
    <chartFormat chart="25" format="2730">
      <pivotArea type="data" outline="0" fieldPosition="0">
        <references count="3">
          <reference field="4294967294" count="1" selected="0">
            <x v="2"/>
          </reference>
          <reference field="0" count="1" selected="0">
            <x v="20"/>
          </reference>
          <reference field="1" count="1" selected="0">
            <x v="4"/>
          </reference>
        </references>
      </pivotArea>
    </chartFormat>
    <chartFormat chart="25" format="2731">
      <pivotArea type="data" outline="0" fieldPosition="0">
        <references count="3">
          <reference field="4294967294" count="1" selected="0">
            <x v="2"/>
          </reference>
          <reference field="0" count="1" selected="0">
            <x v="21"/>
          </reference>
          <reference field="1" count="1" selected="0">
            <x v="4"/>
          </reference>
        </references>
      </pivotArea>
    </chartFormat>
    <chartFormat chart="25" format="2732">
      <pivotArea type="data" outline="0" fieldPosition="0">
        <references count="3">
          <reference field="4294967294" count="1" selected="0">
            <x v="2"/>
          </reference>
          <reference field="0" count="1" selected="0">
            <x v="22"/>
          </reference>
          <reference field="1" count="1" selected="0">
            <x v="4"/>
          </reference>
        </references>
      </pivotArea>
    </chartFormat>
    <chartFormat chart="25" format="2733">
      <pivotArea type="data" outline="0" fieldPosition="0">
        <references count="3">
          <reference field="4294967294" count="1" selected="0">
            <x v="2"/>
          </reference>
          <reference field="0" count="1" selected="0">
            <x v="23"/>
          </reference>
          <reference field="1" count="1" selected="0">
            <x v="4"/>
          </reference>
        </references>
      </pivotArea>
    </chartFormat>
    <chartFormat chart="25" format="2734">
      <pivotArea type="data" outline="0" fieldPosition="0">
        <references count="3">
          <reference field="4294967294" count="1" selected="0">
            <x v="2"/>
          </reference>
          <reference field="0" count="1" selected="0">
            <x v="24"/>
          </reference>
          <reference field="1" count="1" selected="0">
            <x v="4"/>
          </reference>
        </references>
      </pivotArea>
    </chartFormat>
    <chartFormat chart="25" format="2735">
      <pivotArea type="data" outline="0" fieldPosition="0">
        <references count="3">
          <reference field="4294967294" count="1" selected="0">
            <x v="2"/>
          </reference>
          <reference field="0" count="1" selected="0">
            <x v="25"/>
          </reference>
          <reference field="1" count="1" selected="0">
            <x v="4"/>
          </reference>
        </references>
      </pivotArea>
    </chartFormat>
    <chartFormat chart="25" format="2736" series="1">
      <pivotArea type="data" outline="0" fieldPosition="0">
        <references count="2">
          <reference field="4294967294" count="1" selected="0">
            <x v="3"/>
          </reference>
          <reference field="1" count="1" selected="0">
            <x v="4"/>
          </reference>
        </references>
      </pivotArea>
    </chartFormat>
    <chartFormat chart="25" format="2737">
      <pivotArea type="data" outline="0" fieldPosition="0">
        <references count="3">
          <reference field="4294967294" count="1" selected="0">
            <x v="3"/>
          </reference>
          <reference field="0" count="1" selected="0">
            <x v="0"/>
          </reference>
          <reference field="1" count="1" selected="0">
            <x v="4"/>
          </reference>
        </references>
      </pivotArea>
    </chartFormat>
    <chartFormat chart="25" format="2738">
      <pivotArea type="data" outline="0" fieldPosition="0">
        <references count="3">
          <reference field="4294967294" count="1" selected="0">
            <x v="3"/>
          </reference>
          <reference field="0" count="1" selected="0">
            <x v="1"/>
          </reference>
          <reference field="1" count="1" selected="0">
            <x v="4"/>
          </reference>
        </references>
      </pivotArea>
    </chartFormat>
    <chartFormat chart="25" format="2739">
      <pivotArea type="data" outline="0" fieldPosition="0">
        <references count="3">
          <reference field="4294967294" count="1" selected="0">
            <x v="3"/>
          </reference>
          <reference field="0" count="1" selected="0">
            <x v="2"/>
          </reference>
          <reference field="1" count="1" selected="0">
            <x v="4"/>
          </reference>
        </references>
      </pivotArea>
    </chartFormat>
    <chartFormat chart="25" format="2740">
      <pivotArea type="data" outline="0" fieldPosition="0">
        <references count="3">
          <reference field="4294967294" count="1" selected="0">
            <x v="3"/>
          </reference>
          <reference field="0" count="1" selected="0">
            <x v="3"/>
          </reference>
          <reference field="1" count="1" selected="0">
            <x v="4"/>
          </reference>
        </references>
      </pivotArea>
    </chartFormat>
    <chartFormat chart="25" format="2741">
      <pivotArea type="data" outline="0" fieldPosition="0">
        <references count="3">
          <reference field="4294967294" count="1" selected="0">
            <x v="3"/>
          </reference>
          <reference field="0" count="1" selected="0">
            <x v="4"/>
          </reference>
          <reference field="1" count="1" selected="0">
            <x v="4"/>
          </reference>
        </references>
      </pivotArea>
    </chartFormat>
    <chartFormat chart="25" format="2742">
      <pivotArea type="data" outline="0" fieldPosition="0">
        <references count="3">
          <reference field="4294967294" count="1" selected="0">
            <x v="3"/>
          </reference>
          <reference field="0" count="1" selected="0">
            <x v="5"/>
          </reference>
          <reference field="1" count="1" selected="0">
            <x v="4"/>
          </reference>
        </references>
      </pivotArea>
    </chartFormat>
    <chartFormat chart="25" format="2743">
      <pivotArea type="data" outline="0" fieldPosition="0">
        <references count="3">
          <reference field="4294967294" count="1" selected="0">
            <x v="3"/>
          </reference>
          <reference field="0" count="1" selected="0">
            <x v="6"/>
          </reference>
          <reference field="1" count="1" selected="0">
            <x v="4"/>
          </reference>
        </references>
      </pivotArea>
    </chartFormat>
    <chartFormat chart="25" format="2744">
      <pivotArea type="data" outline="0" fieldPosition="0">
        <references count="3">
          <reference field="4294967294" count="1" selected="0">
            <x v="3"/>
          </reference>
          <reference field="0" count="1" selected="0">
            <x v="7"/>
          </reference>
          <reference field="1" count="1" selected="0">
            <x v="4"/>
          </reference>
        </references>
      </pivotArea>
    </chartFormat>
    <chartFormat chart="25" format="2745">
      <pivotArea type="data" outline="0" fieldPosition="0">
        <references count="3">
          <reference field="4294967294" count="1" selected="0">
            <x v="3"/>
          </reference>
          <reference field="0" count="1" selected="0">
            <x v="8"/>
          </reference>
          <reference field="1" count="1" selected="0">
            <x v="4"/>
          </reference>
        </references>
      </pivotArea>
    </chartFormat>
    <chartFormat chart="25" format="2746">
      <pivotArea type="data" outline="0" fieldPosition="0">
        <references count="3">
          <reference field="4294967294" count="1" selected="0">
            <x v="3"/>
          </reference>
          <reference field="0" count="1" selected="0">
            <x v="9"/>
          </reference>
          <reference field="1" count="1" selected="0">
            <x v="4"/>
          </reference>
        </references>
      </pivotArea>
    </chartFormat>
    <chartFormat chart="25" format="2747">
      <pivotArea type="data" outline="0" fieldPosition="0">
        <references count="3">
          <reference field="4294967294" count="1" selected="0">
            <x v="3"/>
          </reference>
          <reference field="0" count="1" selected="0">
            <x v="10"/>
          </reference>
          <reference field="1" count="1" selected="0">
            <x v="4"/>
          </reference>
        </references>
      </pivotArea>
    </chartFormat>
    <chartFormat chart="25" format="2748">
      <pivotArea type="data" outline="0" fieldPosition="0">
        <references count="3">
          <reference field="4294967294" count="1" selected="0">
            <x v="3"/>
          </reference>
          <reference field="0" count="1" selected="0">
            <x v="11"/>
          </reference>
          <reference field="1" count="1" selected="0">
            <x v="4"/>
          </reference>
        </references>
      </pivotArea>
    </chartFormat>
    <chartFormat chart="25" format="2749">
      <pivotArea type="data" outline="0" fieldPosition="0">
        <references count="3">
          <reference field="4294967294" count="1" selected="0">
            <x v="3"/>
          </reference>
          <reference field="0" count="1" selected="0">
            <x v="12"/>
          </reference>
          <reference field="1" count="1" selected="0">
            <x v="4"/>
          </reference>
        </references>
      </pivotArea>
    </chartFormat>
    <chartFormat chart="25" format="2750">
      <pivotArea type="data" outline="0" fieldPosition="0">
        <references count="3">
          <reference field="4294967294" count="1" selected="0">
            <x v="3"/>
          </reference>
          <reference field="0" count="1" selected="0">
            <x v="13"/>
          </reference>
          <reference field="1" count="1" selected="0">
            <x v="4"/>
          </reference>
        </references>
      </pivotArea>
    </chartFormat>
    <chartFormat chart="25" format="2751">
      <pivotArea type="data" outline="0" fieldPosition="0">
        <references count="3">
          <reference field="4294967294" count="1" selected="0">
            <x v="3"/>
          </reference>
          <reference field="0" count="1" selected="0">
            <x v="14"/>
          </reference>
          <reference field="1" count="1" selected="0">
            <x v="4"/>
          </reference>
        </references>
      </pivotArea>
    </chartFormat>
    <chartFormat chart="25" format="2752">
      <pivotArea type="data" outline="0" fieldPosition="0">
        <references count="3">
          <reference field="4294967294" count="1" selected="0">
            <x v="3"/>
          </reference>
          <reference field="0" count="1" selected="0">
            <x v="15"/>
          </reference>
          <reference field="1" count="1" selected="0">
            <x v="4"/>
          </reference>
        </references>
      </pivotArea>
    </chartFormat>
    <chartFormat chart="25" format="2753">
      <pivotArea type="data" outline="0" fieldPosition="0">
        <references count="3">
          <reference field="4294967294" count="1" selected="0">
            <x v="3"/>
          </reference>
          <reference field="0" count="1" selected="0">
            <x v="16"/>
          </reference>
          <reference field="1" count="1" selected="0">
            <x v="4"/>
          </reference>
        </references>
      </pivotArea>
    </chartFormat>
    <chartFormat chart="25" format="2754">
      <pivotArea type="data" outline="0" fieldPosition="0">
        <references count="3">
          <reference field="4294967294" count="1" selected="0">
            <x v="3"/>
          </reference>
          <reference field="0" count="1" selected="0">
            <x v="17"/>
          </reference>
          <reference field="1" count="1" selected="0">
            <x v="4"/>
          </reference>
        </references>
      </pivotArea>
    </chartFormat>
    <chartFormat chart="25" format="2755">
      <pivotArea type="data" outline="0" fieldPosition="0">
        <references count="3">
          <reference field="4294967294" count="1" selected="0">
            <x v="3"/>
          </reference>
          <reference field="0" count="1" selected="0">
            <x v="18"/>
          </reference>
          <reference field="1" count="1" selected="0">
            <x v="4"/>
          </reference>
        </references>
      </pivotArea>
    </chartFormat>
    <chartFormat chart="25" format="2756">
      <pivotArea type="data" outline="0" fieldPosition="0">
        <references count="3">
          <reference field="4294967294" count="1" selected="0">
            <x v="3"/>
          </reference>
          <reference field="0" count="1" selected="0">
            <x v="19"/>
          </reference>
          <reference field="1" count="1" selected="0">
            <x v="4"/>
          </reference>
        </references>
      </pivotArea>
    </chartFormat>
    <chartFormat chart="25" format="2757">
      <pivotArea type="data" outline="0" fieldPosition="0">
        <references count="3">
          <reference field="4294967294" count="1" selected="0">
            <x v="3"/>
          </reference>
          <reference field="0" count="1" selected="0">
            <x v="20"/>
          </reference>
          <reference field="1" count="1" selected="0">
            <x v="4"/>
          </reference>
        </references>
      </pivotArea>
    </chartFormat>
    <chartFormat chart="25" format="2758">
      <pivotArea type="data" outline="0" fieldPosition="0">
        <references count="3">
          <reference field="4294967294" count="1" selected="0">
            <x v="3"/>
          </reference>
          <reference field="0" count="1" selected="0">
            <x v="21"/>
          </reference>
          <reference field="1" count="1" selected="0">
            <x v="4"/>
          </reference>
        </references>
      </pivotArea>
    </chartFormat>
    <chartFormat chart="25" format="2759">
      <pivotArea type="data" outline="0" fieldPosition="0">
        <references count="3">
          <reference field="4294967294" count="1" selected="0">
            <x v="3"/>
          </reference>
          <reference field="0" count="1" selected="0">
            <x v="22"/>
          </reference>
          <reference field="1" count="1" selected="0">
            <x v="4"/>
          </reference>
        </references>
      </pivotArea>
    </chartFormat>
    <chartFormat chart="25" format="2760">
      <pivotArea type="data" outline="0" fieldPosition="0">
        <references count="3">
          <reference field="4294967294" count="1" selected="0">
            <x v="3"/>
          </reference>
          <reference field="0" count="1" selected="0">
            <x v="23"/>
          </reference>
          <reference field="1" count="1" selected="0">
            <x v="4"/>
          </reference>
        </references>
      </pivotArea>
    </chartFormat>
    <chartFormat chart="25" format="2761">
      <pivotArea type="data" outline="0" fieldPosition="0">
        <references count="3">
          <reference field="4294967294" count="1" selected="0">
            <x v="3"/>
          </reference>
          <reference field="0" count="1" selected="0">
            <x v="24"/>
          </reference>
          <reference field="1" count="1" selected="0">
            <x v="4"/>
          </reference>
        </references>
      </pivotArea>
    </chartFormat>
    <chartFormat chart="25" format="2762">
      <pivotArea type="data" outline="0" fieldPosition="0">
        <references count="3">
          <reference field="4294967294" count="1" selected="0">
            <x v="3"/>
          </reference>
          <reference field="0" count="1" selected="0">
            <x v="25"/>
          </reference>
          <reference field="1" count="1" selected="0">
            <x v="4"/>
          </reference>
        </references>
      </pivotArea>
    </chartFormat>
    <chartFormat chart="25" format="2763" series="1">
      <pivotArea type="data" outline="0" fieldPosition="0">
        <references count="2">
          <reference field="4294967294" count="1" selected="0">
            <x v="4"/>
          </reference>
          <reference field="1" count="1" selected="0">
            <x v="4"/>
          </reference>
        </references>
      </pivotArea>
    </chartFormat>
    <chartFormat chart="25" format="2764">
      <pivotArea type="data" outline="0" fieldPosition="0">
        <references count="3">
          <reference field="4294967294" count="1" selected="0">
            <x v="4"/>
          </reference>
          <reference field="0" count="1" selected="0">
            <x v="0"/>
          </reference>
          <reference field="1" count="1" selected="0">
            <x v="4"/>
          </reference>
        </references>
      </pivotArea>
    </chartFormat>
    <chartFormat chart="25" format="2765">
      <pivotArea type="data" outline="0" fieldPosition="0">
        <references count="3">
          <reference field="4294967294" count="1" selected="0">
            <x v="4"/>
          </reference>
          <reference field="0" count="1" selected="0">
            <x v="1"/>
          </reference>
          <reference field="1" count="1" selected="0">
            <x v="4"/>
          </reference>
        </references>
      </pivotArea>
    </chartFormat>
    <chartFormat chart="25" format="2766">
      <pivotArea type="data" outline="0" fieldPosition="0">
        <references count="3">
          <reference field="4294967294" count="1" selected="0">
            <x v="4"/>
          </reference>
          <reference field="0" count="1" selected="0">
            <x v="2"/>
          </reference>
          <reference field="1" count="1" selected="0">
            <x v="4"/>
          </reference>
        </references>
      </pivotArea>
    </chartFormat>
    <chartFormat chart="25" format="2767">
      <pivotArea type="data" outline="0" fieldPosition="0">
        <references count="3">
          <reference field="4294967294" count="1" selected="0">
            <x v="4"/>
          </reference>
          <reference field="0" count="1" selected="0">
            <x v="3"/>
          </reference>
          <reference field="1" count="1" selected="0">
            <x v="4"/>
          </reference>
        </references>
      </pivotArea>
    </chartFormat>
    <chartFormat chart="25" format="2768">
      <pivotArea type="data" outline="0" fieldPosition="0">
        <references count="3">
          <reference field="4294967294" count="1" selected="0">
            <x v="4"/>
          </reference>
          <reference field="0" count="1" selected="0">
            <x v="4"/>
          </reference>
          <reference field="1" count="1" selected="0">
            <x v="4"/>
          </reference>
        </references>
      </pivotArea>
    </chartFormat>
    <chartFormat chart="25" format="2769">
      <pivotArea type="data" outline="0" fieldPosition="0">
        <references count="3">
          <reference field="4294967294" count="1" selected="0">
            <x v="4"/>
          </reference>
          <reference field="0" count="1" selected="0">
            <x v="5"/>
          </reference>
          <reference field="1" count="1" selected="0">
            <x v="4"/>
          </reference>
        </references>
      </pivotArea>
    </chartFormat>
    <chartFormat chart="25" format="2770">
      <pivotArea type="data" outline="0" fieldPosition="0">
        <references count="3">
          <reference field="4294967294" count="1" selected="0">
            <x v="4"/>
          </reference>
          <reference field="0" count="1" selected="0">
            <x v="6"/>
          </reference>
          <reference field="1" count="1" selected="0">
            <x v="4"/>
          </reference>
        </references>
      </pivotArea>
    </chartFormat>
    <chartFormat chart="25" format="2771">
      <pivotArea type="data" outline="0" fieldPosition="0">
        <references count="3">
          <reference field="4294967294" count="1" selected="0">
            <x v="4"/>
          </reference>
          <reference field="0" count="1" selected="0">
            <x v="7"/>
          </reference>
          <reference field="1" count="1" selected="0">
            <x v="4"/>
          </reference>
        </references>
      </pivotArea>
    </chartFormat>
    <chartFormat chart="25" format="2772">
      <pivotArea type="data" outline="0" fieldPosition="0">
        <references count="3">
          <reference field="4294967294" count="1" selected="0">
            <x v="4"/>
          </reference>
          <reference field="0" count="1" selected="0">
            <x v="8"/>
          </reference>
          <reference field="1" count="1" selected="0">
            <x v="4"/>
          </reference>
        </references>
      </pivotArea>
    </chartFormat>
    <chartFormat chart="25" format="2773">
      <pivotArea type="data" outline="0" fieldPosition="0">
        <references count="3">
          <reference field="4294967294" count="1" selected="0">
            <x v="4"/>
          </reference>
          <reference field="0" count="1" selected="0">
            <x v="9"/>
          </reference>
          <reference field="1" count="1" selected="0">
            <x v="4"/>
          </reference>
        </references>
      </pivotArea>
    </chartFormat>
    <chartFormat chart="25" format="2774">
      <pivotArea type="data" outline="0" fieldPosition="0">
        <references count="3">
          <reference field="4294967294" count="1" selected="0">
            <x v="4"/>
          </reference>
          <reference field="0" count="1" selected="0">
            <x v="10"/>
          </reference>
          <reference field="1" count="1" selected="0">
            <x v="4"/>
          </reference>
        </references>
      </pivotArea>
    </chartFormat>
    <chartFormat chart="25" format="2775">
      <pivotArea type="data" outline="0" fieldPosition="0">
        <references count="3">
          <reference field="4294967294" count="1" selected="0">
            <x v="4"/>
          </reference>
          <reference field="0" count="1" selected="0">
            <x v="11"/>
          </reference>
          <reference field="1" count="1" selected="0">
            <x v="4"/>
          </reference>
        </references>
      </pivotArea>
    </chartFormat>
    <chartFormat chart="25" format="2776">
      <pivotArea type="data" outline="0" fieldPosition="0">
        <references count="3">
          <reference field="4294967294" count="1" selected="0">
            <x v="4"/>
          </reference>
          <reference field="0" count="1" selected="0">
            <x v="12"/>
          </reference>
          <reference field="1" count="1" selected="0">
            <x v="4"/>
          </reference>
        </references>
      </pivotArea>
    </chartFormat>
    <chartFormat chart="25" format="2777">
      <pivotArea type="data" outline="0" fieldPosition="0">
        <references count="3">
          <reference field="4294967294" count="1" selected="0">
            <x v="4"/>
          </reference>
          <reference field="0" count="1" selected="0">
            <x v="13"/>
          </reference>
          <reference field="1" count="1" selected="0">
            <x v="4"/>
          </reference>
        </references>
      </pivotArea>
    </chartFormat>
    <chartFormat chart="25" format="2778">
      <pivotArea type="data" outline="0" fieldPosition="0">
        <references count="3">
          <reference field="4294967294" count="1" selected="0">
            <x v="4"/>
          </reference>
          <reference field="0" count="1" selected="0">
            <x v="14"/>
          </reference>
          <reference field="1" count="1" selected="0">
            <x v="4"/>
          </reference>
        </references>
      </pivotArea>
    </chartFormat>
    <chartFormat chart="25" format="2779">
      <pivotArea type="data" outline="0" fieldPosition="0">
        <references count="3">
          <reference field="4294967294" count="1" selected="0">
            <x v="4"/>
          </reference>
          <reference field="0" count="1" selected="0">
            <x v="15"/>
          </reference>
          <reference field="1" count="1" selected="0">
            <x v="4"/>
          </reference>
        </references>
      </pivotArea>
    </chartFormat>
    <chartFormat chart="25" format="2780">
      <pivotArea type="data" outline="0" fieldPosition="0">
        <references count="3">
          <reference field="4294967294" count="1" selected="0">
            <x v="4"/>
          </reference>
          <reference field="0" count="1" selected="0">
            <x v="16"/>
          </reference>
          <reference field="1" count="1" selected="0">
            <x v="4"/>
          </reference>
        </references>
      </pivotArea>
    </chartFormat>
    <chartFormat chart="25" format="2781">
      <pivotArea type="data" outline="0" fieldPosition="0">
        <references count="3">
          <reference field="4294967294" count="1" selected="0">
            <x v="4"/>
          </reference>
          <reference field="0" count="1" selected="0">
            <x v="17"/>
          </reference>
          <reference field="1" count="1" selected="0">
            <x v="4"/>
          </reference>
        </references>
      </pivotArea>
    </chartFormat>
    <chartFormat chart="25" format="2782">
      <pivotArea type="data" outline="0" fieldPosition="0">
        <references count="3">
          <reference field="4294967294" count="1" selected="0">
            <x v="4"/>
          </reference>
          <reference field="0" count="1" selected="0">
            <x v="18"/>
          </reference>
          <reference field="1" count="1" selected="0">
            <x v="4"/>
          </reference>
        </references>
      </pivotArea>
    </chartFormat>
    <chartFormat chart="25" format="2783">
      <pivotArea type="data" outline="0" fieldPosition="0">
        <references count="3">
          <reference field="4294967294" count="1" selected="0">
            <x v="4"/>
          </reference>
          <reference field="0" count="1" selected="0">
            <x v="19"/>
          </reference>
          <reference field="1" count="1" selected="0">
            <x v="4"/>
          </reference>
        </references>
      </pivotArea>
    </chartFormat>
    <chartFormat chart="25" format="2784">
      <pivotArea type="data" outline="0" fieldPosition="0">
        <references count="3">
          <reference field="4294967294" count="1" selected="0">
            <x v="4"/>
          </reference>
          <reference field="0" count="1" selected="0">
            <x v="20"/>
          </reference>
          <reference field="1" count="1" selected="0">
            <x v="4"/>
          </reference>
        </references>
      </pivotArea>
    </chartFormat>
    <chartFormat chart="25" format="2785">
      <pivotArea type="data" outline="0" fieldPosition="0">
        <references count="3">
          <reference field="4294967294" count="1" selected="0">
            <x v="4"/>
          </reference>
          <reference field="0" count="1" selected="0">
            <x v="21"/>
          </reference>
          <reference field="1" count="1" selected="0">
            <x v="4"/>
          </reference>
        </references>
      </pivotArea>
    </chartFormat>
    <chartFormat chart="25" format="2786">
      <pivotArea type="data" outline="0" fieldPosition="0">
        <references count="3">
          <reference field="4294967294" count="1" selected="0">
            <x v="4"/>
          </reference>
          <reference field="0" count="1" selected="0">
            <x v="22"/>
          </reference>
          <reference field="1" count="1" selected="0">
            <x v="4"/>
          </reference>
        </references>
      </pivotArea>
    </chartFormat>
    <chartFormat chart="25" format="2787">
      <pivotArea type="data" outline="0" fieldPosition="0">
        <references count="3">
          <reference field="4294967294" count="1" selected="0">
            <x v="4"/>
          </reference>
          <reference field="0" count="1" selected="0">
            <x v="23"/>
          </reference>
          <reference field="1" count="1" selected="0">
            <x v="4"/>
          </reference>
        </references>
      </pivotArea>
    </chartFormat>
    <chartFormat chart="25" format="2788">
      <pivotArea type="data" outline="0" fieldPosition="0">
        <references count="3">
          <reference field="4294967294" count="1" selected="0">
            <x v="4"/>
          </reference>
          <reference field="0" count="1" selected="0">
            <x v="24"/>
          </reference>
          <reference field="1" count="1" selected="0">
            <x v="4"/>
          </reference>
        </references>
      </pivotArea>
    </chartFormat>
    <chartFormat chart="25" format="2789">
      <pivotArea type="data" outline="0" fieldPosition="0">
        <references count="3">
          <reference field="4294967294" count="1" selected="0">
            <x v="4"/>
          </reference>
          <reference field="0" count="1" selected="0">
            <x v="25"/>
          </reference>
          <reference field="1" count="1" selected="0">
            <x v="4"/>
          </reference>
        </references>
      </pivotArea>
    </chartFormat>
    <chartFormat chart="26" format="135" series="1">
      <pivotArea type="data" outline="0" fieldPosition="0">
        <references count="2">
          <reference field="4294967294" count="1" selected="0">
            <x v="0"/>
          </reference>
          <reference field="1" count="1" selected="0">
            <x v="0"/>
          </reference>
        </references>
      </pivotArea>
    </chartFormat>
    <chartFormat chart="26" format="136" series="1">
      <pivotArea type="data" outline="0" fieldPosition="0">
        <references count="2">
          <reference field="4294967294" count="1" selected="0">
            <x v="1"/>
          </reference>
          <reference field="1" count="1" selected="0">
            <x v="0"/>
          </reference>
        </references>
      </pivotArea>
    </chartFormat>
    <chartFormat chart="26" format="137" series="1">
      <pivotArea type="data" outline="0" fieldPosition="0">
        <references count="2">
          <reference field="4294967294" count="1" selected="0">
            <x v="2"/>
          </reference>
          <reference field="1" count="1" selected="0">
            <x v="0"/>
          </reference>
        </references>
      </pivotArea>
    </chartFormat>
    <chartFormat chart="26" format="138" series="1">
      <pivotArea type="data" outline="0" fieldPosition="0">
        <references count="2">
          <reference field="4294967294" count="1" selected="0">
            <x v="3"/>
          </reference>
          <reference field="1" count="1" selected="0">
            <x v="0"/>
          </reference>
        </references>
      </pivotArea>
    </chartFormat>
    <chartFormat chart="26" format="139" series="1">
      <pivotArea type="data" outline="0" fieldPosition="0">
        <references count="2">
          <reference field="4294967294" count="1" selected="0">
            <x v="4"/>
          </reference>
          <reference field="1" count="1" selected="0">
            <x v="0"/>
          </reference>
        </references>
      </pivotArea>
    </chartFormat>
    <chartFormat chart="26" format="140" series="1">
      <pivotArea type="data" outline="0" fieldPosition="0">
        <references count="2">
          <reference field="4294967294" count="1" selected="0">
            <x v="0"/>
          </reference>
          <reference field="1" count="1" selected="0">
            <x v="1"/>
          </reference>
        </references>
      </pivotArea>
    </chartFormat>
    <chartFormat chart="26" format="141" series="1">
      <pivotArea type="data" outline="0" fieldPosition="0">
        <references count="2">
          <reference field="4294967294" count="1" selected="0">
            <x v="1"/>
          </reference>
          <reference field="1" count="1" selected="0">
            <x v="1"/>
          </reference>
        </references>
      </pivotArea>
    </chartFormat>
    <chartFormat chart="26" format="142" series="1">
      <pivotArea type="data" outline="0" fieldPosition="0">
        <references count="2">
          <reference field="4294967294" count="1" selected="0">
            <x v="2"/>
          </reference>
          <reference field="1" count="1" selected="0">
            <x v="1"/>
          </reference>
        </references>
      </pivotArea>
    </chartFormat>
    <chartFormat chart="26" format="143" series="1">
      <pivotArea type="data" outline="0" fieldPosition="0">
        <references count="2">
          <reference field="4294967294" count="1" selected="0">
            <x v="3"/>
          </reference>
          <reference field="1" count="1" selected="0">
            <x v="1"/>
          </reference>
        </references>
      </pivotArea>
    </chartFormat>
    <chartFormat chart="26" format="144" series="1">
      <pivotArea type="data" outline="0" fieldPosition="0">
        <references count="2">
          <reference field="4294967294" count="1" selected="0">
            <x v="4"/>
          </reference>
          <reference field="1" count="1" selected="0">
            <x v="1"/>
          </reference>
        </references>
      </pivotArea>
    </chartFormat>
    <chartFormat chart="26" format="145" series="1">
      <pivotArea type="data" outline="0" fieldPosition="0">
        <references count="2">
          <reference field="4294967294" count="1" selected="0">
            <x v="0"/>
          </reference>
          <reference field="1" count="1" selected="0">
            <x v="2"/>
          </reference>
        </references>
      </pivotArea>
    </chartFormat>
    <chartFormat chart="26" format="146" series="1">
      <pivotArea type="data" outline="0" fieldPosition="0">
        <references count="2">
          <reference field="4294967294" count="1" selected="0">
            <x v="1"/>
          </reference>
          <reference field="1" count="1" selected="0">
            <x v="2"/>
          </reference>
        </references>
      </pivotArea>
    </chartFormat>
    <chartFormat chart="26" format="147" series="1">
      <pivotArea type="data" outline="0" fieldPosition="0">
        <references count="2">
          <reference field="4294967294" count="1" selected="0">
            <x v="2"/>
          </reference>
          <reference field="1" count="1" selected="0">
            <x v="2"/>
          </reference>
        </references>
      </pivotArea>
    </chartFormat>
    <chartFormat chart="26" format="148" series="1">
      <pivotArea type="data" outline="0" fieldPosition="0">
        <references count="2">
          <reference field="4294967294" count="1" selected="0">
            <x v="3"/>
          </reference>
          <reference field="1" count="1" selected="0">
            <x v="2"/>
          </reference>
        </references>
      </pivotArea>
    </chartFormat>
    <chartFormat chart="26" format="149" series="1">
      <pivotArea type="data" outline="0" fieldPosition="0">
        <references count="2">
          <reference field="4294967294" count="1" selected="0">
            <x v="4"/>
          </reference>
          <reference field="1" count="1" selected="0">
            <x v="2"/>
          </reference>
        </references>
      </pivotArea>
    </chartFormat>
    <chartFormat chart="26" format="150" series="1">
      <pivotArea type="data" outline="0" fieldPosition="0">
        <references count="2">
          <reference field="4294967294" count="1" selected="0">
            <x v="0"/>
          </reference>
          <reference field="1" count="1" selected="0">
            <x v="3"/>
          </reference>
        </references>
      </pivotArea>
    </chartFormat>
    <chartFormat chart="26" format="151" series="1">
      <pivotArea type="data" outline="0" fieldPosition="0">
        <references count="2">
          <reference field="4294967294" count="1" selected="0">
            <x v="1"/>
          </reference>
          <reference field="1" count="1" selected="0">
            <x v="3"/>
          </reference>
        </references>
      </pivotArea>
    </chartFormat>
    <chartFormat chart="26" format="152" series="1">
      <pivotArea type="data" outline="0" fieldPosition="0">
        <references count="2">
          <reference field="4294967294" count="1" selected="0">
            <x v="2"/>
          </reference>
          <reference field="1" count="1" selected="0">
            <x v="3"/>
          </reference>
        </references>
      </pivotArea>
    </chartFormat>
    <chartFormat chart="26" format="153" series="1">
      <pivotArea type="data" outline="0" fieldPosition="0">
        <references count="2">
          <reference field="4294967294" count="1" selected="0">
            <x v="3"/>
          </reference>
          <reference field="1" count="1" selected="0">
            <x v="3"/>
          </reference>
        </references>
      </pivotArea>
    </chartFormat>
    <chartFormat chart="26" format="154" series="1">
      <pivotArea type="data" outline="0" fieldPosition="0">
        <references count="2">
          <reference field="4294967294" count="1" selected="0">
            <x v="4"/>
          </reference>
          <reference field="1" count="1" selected="0">
            <x v="3"/>
          </reference>
        </references>
      </pivotArea>
    </chartFormat>
    <chartFormat chart="26" format="155" series="1">
      <pivotArea type="data" outline="0" fieldPosition="0">
        <references count="2">
          <reference field="4294967294" count="1" selected="0">
            <x v="0"/>
          </reference>
          <reference field="1" count="1" selected="0">
            <x v="4"/>
          </reference>
        </references>
      </pivotArea>
    </chartFormat>
    <chartFormat chart="26" format="156" series="1">
      <pivotArea type="data" outline="0" fieldPosition="0">
        <references count="2">
          <reference field="4294967294" count="1" selected="0">
            <x v="1"/>
          </reference>
          <reference field="1" count="1" selected="0">
            <x v="4"/>
          </reference>
        </references>
      </pivotArea>
    </chartFormat>
    <chartFormat chart="26" format="157" series="1">
      <pivotArea type="data" outline="0" fieldPosition="0">
        <references count="2">
          <reference field="4294967294" count="1" selected="0">
            <x v="2"/>
          </reference>
          <reference field="1" count="1" selected="0">
            <x v="4"/>
          </reference>
        </references>
      </pivotArea>
    </chartFormat>
    <chartFormat chart="26" format="158" series="1">
      <pivotArea type="data" outline="0" fieldPosition="0">
        <references count="2">
          <reference field="4294967294" count="1" selected="0">
            <x v="3"/>
          </reference>
          <reference field="1" count="1" selected="0">
            <x v="4"/>
          </reference>
        </references>
      </pivotArea>
    </chartFormat>
    <chartFormat chart="26" format="159" series="1">
      <pivotArea type="data" outline="0" fieldPosition="0">
        <references count="2">
          <reference field="4294967294" count="1" selected="0">
            <x v="4"/>
          </reference>
          <reference field="1" count="1" selected="0">
            <x v="4"/>
          </reference>
        </references>
      </pivotArea>
    </chartFormat>
    <chartFormat chart="26" format="160" series="1">
      <pivotArea type="data" grandCol="1" outline="0" fieldPosition="0">
        <references count="1">
          <reference field="4294967294" count="1" selected="0">
            <x v="0"/>
          </reference>
        </references>
      </pivotArea>
    </chartFormat>
    <chartFormat chart="26" format="161" series="1">
      <pivotArea type="data" grandCol="1" outline="0" fieldPosition="0">
        <references count="1">
          <reference field="4294967294" count="1" selected="0">
            <x v="1"/>
          </reference>
        </references>
      </pivotArea>
    </chartFormat>
    <chartFormat chart="26" format="162" series="1">
      <pivotArea type="data" grandCol="1" outline="0" fieldPosition="0">
        <references count="1">
          <reference field="4294967294" count="1" selected="0">
            <x v="2"/>
          </reference>
        </references>
      </pivotArea>
    </chartFormat>
    <chartFormat chart="26" format="163" series="1">
      <pivotArea type="data" grandCol="1" outline="0" fieldPosition="0">
        <references count="1">
          <reference field="4294967294" count="1" selected="0">
            <x v="3"/>
          </reference>
        </references>
      </pivotArea>
    </chartFormat>
    <chartFormat chart="26" format="164" series="1">
      <pivotArea type="data" grandCol="1" outline="0" fieldPosition="0">
        <references count="1">
          <reference field="4294967294" count="1" selected="0">
            <x v="4"/>
          </reference>
        </references>
      </pivotArea>
    </chartFormat>
    <chartFormat chart="25" format="2790" series="1">
      <pivotArea type="data" grandCol="1" outline="0" fieldPosition="0">
        <references count="1">
          <reference field="4294967294" count="1" selected="0">
            <x v="0"/>
          </reference>
        </references>
      </pivotArea>
    </chartFormat>
    <chartFormat chart="25" format="2791" series="1">
      <pivotArea type="data" grandCol="1" outline="0" fieldPosition="0">
        <references count="1">
          <reference field="4294967294" count="1" selected="0">
            <x v="1"/>
          </reference>
        </references>
      </pivotArea>
    </chartFormat>
    <chartFormat chart="25" format="2792" series="1">
      <pivotArea type="data" grandCol="1" outline="0" fieldPosition="0">
        <references count="1">
          <reference field="4294967294" count="1" selected="0">
            <x v="2"/>
          </reference>
        </references>
      </pivotArea>
    </chartFormat>
    <chartFormat chart="25" format="2793" series="1">
      <pivotArea type="data" grandCol="1" outline="0" fieldPosition="0">
        <references count="1">
          <reference field="4294967294" count="1" selected="0">
            <x v="3"/>
          </reference>
        </references>
      </pivotArea>
    </chartFormat>
    <chartFormat chart="25" format="2794" series="1">
      <pivotArea type="data" grandCol="1" outline="0" fieldPosition="0">
        <references count="1">
          <reference field="4294967294" count="1" selected="0">
            <x v="4"/>
          </reference>
        </references>
      </pivotArea>
    </chartFormat>
    <chartFormat chart="24" format="190" series="1">
      <pivotArea type="data" grandCol="1" outline="0" fieldPosition="0">
        <references count="1">
          <reference field="4294967294" count="1" selected="0">
            <x v="0"/>
          </reference>
        </references>
      </pivotArea>
    </chartFormat>
    <chartFormat chart="24" format="191" series="1">
      <pivotArea type="data" grandCol="1" outline="0" fieldPosition="0">
        <references count="1">
          <reference field="4294967294" count="1" selected="0">
            <x v="1"/>
          </reference>
        </references>
      </pivotArea>
    </chartFormat>
    <chartFormat chart="24" format="192" series="1">
      <pivotArea type="data" grandCol="1" outline="0" fieldPosition="0">
        <references count="1">
          <reference field="4294967294" count="1" selected="0">
            <x v="2"/>
          </reference>
        </references>
      </pivotArea>
    </chartFormat>
    <chartFormat chart="24" format="193" series="1">
      <pivotArea type="data" grandCol="1" outline="0" fieldPosition="0">
        <references count="1">
          <reference field="4294967294" count="1" selected="0">
            <x v="3"/>
          </reference>
        </references>
      </pivotArea>
    </chartFormat>
    <chartFormat chart="24" format="194" series="1">
      <pivotArea type="data" grandCol="1"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86FBE4-E080-402B-BC56-ACFF5CC12AB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7">
    <pivotField showAll="0">
      <items count="27">
        <item x="9"/>
        <item x="11"/>
        <item x="17"/>
        <item x="13"/>
        <item x="15"/>
        <item x="3"/>
        <item x="21"/>
        <item x="16"/>
        <item x="1"/>
        <item x="22"/>
        <item x="10"/>
        <item x="4"/>
        <item x="0"/>
        <item x="20"/>
        <item x="19"/>
        <item x="12"/>
        <item x="23"/>
        <item x="2"/>
        <item x="25"/>
        <item x="6"/>
        <item x="5"/>
        <item x="7"/>
        <item x="24"/>
        <item x="8"/>
        <item x="18"/>
        <item x="14"/>
        <item t="default"/>
      </items>
    </pivotField>
    <pivotField axis="axisRow" showAll="0">
      <items count="6">
        <item x="4"/>
        <item x="3"/>
        <item x="1"/>
        <item x="0"/>
        <item x="2"/>
        <item t="default"/>
      </items>
    </pivotField>
    <pivotField showAll="0"/>
    <pivotField dataField="1" showAll="0"/>
    <pivotField showAll="0"/>
    <pivotField showAll="0"/>
    <pivotField showAll="0"/>
  </pivotFields>
  <rowFields count="1">
    <field x="1"/>
  </rowFields>
  <rowItems count="6">
    <i>
      <x/>
    </i>
    <i>
      <x v="1"/>
    </i>
    <i>
      <x v="2"/>
    </i>
    <i>
      <x v="3"/>
    </i>
    <i>
      <x v="4"/>
    </i>
    <i t="grand">
      <x/>
    </i>
  </rowItems>
  <colItems count="1">
    <i/>
  </colItems>
  <dataFields count="1">
    <dataField name="Sum of weight_sold"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B410F1-DCB9-4E0D-8FD6-E597291C3042}" autoFormatId="16" applyNumberFormats="0" applyBorderFormats="0" applyFontFormats="0" applyPatternFormats="0" applyAlignmentFormats="0" applyWidthHeightFormats="0">
  <queryTableRefresh nextId="8">
    <queryTableFields count="7">
      <queryTableField id="1" name="item_type_name" tableColumnId="1"/>
      <queryTableField id="2" name="karat_name" tableColumnId="2"/>
      <queryTableField id="3" name="revenue" tableColumnId="3"/>
      <queryTableField id="4" name="weight_sold" tableColumnId="4"/>
      <queryTableField id="5" name="making_revenue" tableColumnId="5"/>
      <queryTableField id="6" name="avg_metal_rate" tableColumnId="6"/>
      <queryTableField id="7" name="transaction_cou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_name" xr10:uid="{37F4117D-291F-45F8-B40C-835A8BFADA0F}" sourceName="item_type_name">
  <pivotTables>
    <pivotTable tabId="3" name="PivotTable1"/>
    <pivotTable tabId="5" name="PivotTable2"/>
  </pivotTables>
  <data>
    <tabular pivotCacheId="1969067420">
      <items count="26">
        <i x="9" s="1"/>
        <i x="11" s="1"/>
        <i x="17" s="1"/>
        <i x="13" s="1"/>
        <i x="15" s="1"/>
        <i x="3" s="1"/>
        <i x="21" s="1"/>
        <i x="16" s="1"/>
        <i x="1" s="1"/>
        <i x="22" s="1"/>
        <i x="10" s="1"/>
        <i x="4" s="1"/>
        <i x="0" s="1"/>
        <i x="20" s="1"/>
        <i x="19" s="1"/>
        <i x="12" s="1"/>
        <i x="23" s="1"/>
        <i x="2" s="1"/>
        <i x="25" s="1"/>
        <i x="6" s="1"/>
        <i x="5" s="1"/>
        <i x="7" s="1"/>
        <i x="24" s="1"/>
        <i x="8" s="1"/>
        <i x="18"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rat_name" xr10:uid="{B2DE21D8-5C0F-4406-ADBD-7B4E44632D2F}" sourceName="karat_name">
  <pivotTables>
    <pivotTable tabId="3" name="PivotTable1"/>
    <pivotTable tabId="5" name="PivotTable2"/>
  </pivotTables>
  <data>
    <tabular pivotCacheId="1969067420">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_name" xr10:uid="{4ACB8EC4-6018-4EB2-BD13-B69E25EDDCE9}" cache="Slicer_item_type_name" caption="item_type_name" startItem="5" rowHeight="241300"/>
  <slicer name="karat_name" xr10:uid="{4AEA5E86-5515-47C9-B089-FD14655DC028}" cache="Slicer_karat_name" caption="karat_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806ABD-6E95-4D9E-88AF-41F3D902BA9D}" name="Product_Analysis_Data" displayName="Product_Analysis_Data" ref="A1:G47" tableType="queryTable" totalsRowShown="0">
  <autoFilter ref="A1:G47" xr:uid="{A3806ABD-6E95-4D9E-88AF-41F3D902BA9D}"/>
  <tableColumns count="7">
    <tableColumn id="1" xr3:uid="{1F338530-9A63-4E80-A93A-51E045BF87A9}" uniqueName="1" name="item_type_name" queryTableFieldId="1" dataDxfId="1"/>
    <tableColumn id="2" xr3:uid="{A2ED79CC-9CF8-44D3-9E56-0787EF74AD7C}" uniqueName="2" name="karat_name" queryTableFieldId="2" dataDxfId="0"/>
    <tableColumn id="3" xr3:uid="{14519DB5-469D-4E07-9010-BFD93A08E115}" uniqueName="3" name="revenue" queryTableFieldId="3"/>
    <tableColumn id="4" xr3:uid="{374E66A3-76AD-45CC-90FD-2C5E2712744E}" uniqueName="4" name="weight_sold" queryTableFieldId="4"/>
    <tableColumn id="5" xr3:uid="{4A381255-0460-4594-B5C5-3C396D99912D}" uniqueName="5" name="making_revenue" queryTableFieldId="5"/>
    <tableColumn id="6" xr3:uid="{625AD023-DE46-4820-995F-A74C63B2AB93}" uniqueName="6" name="avg_metal_rate" queryTableFieldId="6"/>
    <tableColumn id="7" xr3:uid="{414865E2-92C0-4D06-993F-6ED7AC31535E}" uniqueName="7" name="transaction_coun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F598-38F5-4EFA-9C55-DDB4C13004EA}">
  <dimension ref="A3:AE32"/>
  <sheetViews>
    <sheetView topLeftCell="Y13" workbookViewId="0"/>
  </sheetViews>
  <sheetFormatPr defaultRowHeight="14.5" x14ac:dyDescent="0.35"/>
  <cols>
    <col min="1" max="1" width="17.453125" bestFit="1" customWidth="1"/>
    <col min="2" max="26" width="22.7265625" bestFit="1" customWidth="1"/>
    <col min="27" max="27" width="22.1796875" bestFit="1" customWidth="1"/>
    <col min="28" max="28" width="18.81640625" bestFit="1" customWidth="1"/>
    <col min="29" max="29" width="26.08984375" bestFit="1" customWidth="1"/>
    <col min="30" max="30" width="25.26953125" bestFit="1" customWidth="1"/>
    <col min="31" max="31" width="27.54296875" bestFit="1" customWidth="1"/>
  </cols>
  <sheetData>
    <row r="3" spans="1:31" x14ac:dyDescent="0.35">
      <c r="B3" s="2" t="s">
        <v>1</v>
      </c>
      <c r="C3" s="2" t="s">
        <v>49</v>
      </c>
    </row>
    <row r="4" spans="1:31" x14ac:dyDescent="0.35">
      <c r="B4" t="s">
        <v>34</v>
      </c>
      <c r="G4" t="s">
        <v>19</v>
      </c>
      <c r="L4" t="s">
        <v>10</v>
      </c>
      <c r="Q4" t="s">
        <v>8</v>
      </c>
      <c r="V4" t="s">
        <v>16</v>
      </c>
      <c r="AA4" t="s">
        <v>41</v>
      </c>
      <c r="AB4" t="s">
        <v>40</v>
      </c>
      <c r="AC4" t="s">
        <v>43</v>
      </c>
      <c r="AD4" t="s">
        <v>45</v>
      </c>
      <c r="AE4" t="s">
        <v>47</v>
      </c>
    </row>
    <row r="5" spans="1:31" x14ac:dyDescent="0.35">
      <c r="A5" s="2" t="s">
        <v>0</v>
      </c>
      <c r="B5" t="s">
        <v>42</v>
      </c>
      <c r="C5" t="s">
        <v>39</v>
      </c>
      <c r="D5" t="s">
        <v>44</v>
      </c>
      <c r="E5" t="s">
        <v>46</v>
      </c>
      <c r="F5" t="s">
        <v>48</v>
      </c>
      <c r="G5" t="s">
        <v>42</v>
      </c>
      <c r="H5" t="s">
        <v>39</v>
      </c>
      <c r="I5" t="s">
        <v>44</v>
      </c>
      <c r="J5" t="s">
        <v>46</v>
      </c>
      <c r="K5" t="s">
        <v>48</v>
      </c>
      <c r="L5" t="s">
        <v>42</v>
      </c>
      <c r="M5" t="s">
        <v>39</v>
      </c>
      <c r="N5" t="s">
        <v>44</v>
      </c>
      <c r="O5" t="s">
        <v>46</v>
      </c>
      <c r="P5" t="s">
        <v>48</v>
      </c>
      <c r="Q5" t="s">
        <v>42</v>
      </c>
      <c r="R5" t="s">
        <v>39</v>
      </c>
      <c r="S5" t="s">
        <v>44</v>
      </c>
      <c r="T5" t="s">
        <v>46</v>
      </c>
      <c r="U5" t="s">
        <v>48</v>
      </c>
      <c r="V5" t="s">
        <v>42</v>
      </c>
      <c r="W5" t="s">
        <v>39</v>
      </c>
      <c r="X5" t="s">
        <v>44</v>
      </c>
      <c r="Y5" t="s">
        <v>46</v>
      </c>
      <c r="Z5" t="s">
        <v>48</v>
      </c>
    </row>
    <row r="6" spans="1:31" x14ac:dyDescent="0.35">
      <c r="A6" t="s">
        <v>18</v>
      </c>
      <c r="B6" s="1"/>
      <c r="C6" s="1"/>
      <c r="D6" s="1"/>
      <c r="E6" s="1"/>
      <c r="F6" s="1"/>
      <c r="G6" s="1">
        <v>21635.280999999941</v>
      </c>
      <c r="H6" s="1">
        <v>7955727.2000000002</v>
      </c>
      <c r="I6" s="1">
        <v>64482.99000000002</v>
      </c>
      <c r="J6" s="1">
        <v>386.91828025477764</v>
      </c>
      <c r="K6" s="1">
        <v>301</v>
      </c>
      <c r="L6" s="1"/>
      <c r="M6" s="1"/>
      <c r="N6" s="1"/>
      <c r="O6" s="1"/>
      <c r="P6" s="1"/>
      <c r="Q6" s="1"/>
      <c r="R6" s="1"/>
      <c r="S6" s="1"/>
      <c r="T6" s="1"/>
      <c r="U6" s="1"/>
      <c r="V6" s="1"/>
      <c r="W6" s="1"/>
      <c r="X6" s="1"/>
      <c r="Y6" s="1"/>
      <c r="Z6" s="1"/>
      <c r="AA6" s="1">
        <v>21635.280999999941</v>
      </c>
      <c r="AB6" s="1">
        <v>7955727.2000000002</v>
      </c>
      <c r="AC6" s="1">
        <v>64482.99000000002</v>
      </c>
      <c r="AD6" s="1">
        <v>386.91828025477764</v>
      </c>
      <c r="AE6" s="1">
        <v>301</v>
      </c>
    </row>
    <row r="7" spans="1:31" x14ac:dyDescent="0.35">
      <c r="A7" t="s">
        <v>21</v>
      </c>
      <c r="B7" s="1"/>
      <c r="C7" s="1"/>
      <c r="D7" s="1"/>
      <c r="E7" s="1"/>
      <c r="F7" s="1"/>
      <c r="G7" s="1"/>
      <c r="H7" s="1"/>
      <c r="I7" s="1"/>
      <c r="J7" s="1"/>
      <c r="K7" s="1"/>
      <c r="L7" s="1">
        <v>15802.010000000004</v>
      </c>
      <c r="M7" s="1">
        <v>6004607</v>
      </c>
      <c r="N7" s="1">
        <v>64369.380000000019</v>
      </c>
      <c r="O7" s="1">
        <v>406.24414634146399</v>
      </c>
      <c r="P7" s="1">
        <v>317</v>
      </c>
      <c r="Q7" s="1"/>
      <c r="R7" s="1"/>
      <c r="S7" s="1"/>
      <c r="T7" s="1"/>
      <c r="U7" s="1"/>
      <c r="V7" s="1"/>
      <c r="W7" s="1"/>
      <c r="X7" s="1"/>
      <c r="Y7" s="1"/>
      <c r="Z7" s="1"/>
      <c r="AA7" s="1">
        <v>15802.010000000004</v>
      </c>
      <c r="AB7" s="1">
        <v>6004607</v>
      </c>
      <c r="AC7" s="1">
        <v>64369.380000000019</v>
      </c>
      <c r="AD7" s="1">
        <v>406.24414634146399</v>
      </c>
      <c r="AE7" s="1">
        <v>317</v>
      </c>
    </row>
    <row r="8" spans="1:31" x14ac:dyDescent="0.35">
      <c r="A8" t="s">
        <v>27</v>
      </c>
      <c r="B8" s="1"/>
      <c r="C8" s="1"/>
      <c r="D8" s="1"/>
      <c r="E8" s="1"/>
      <c r="F8" s="1"/>
      <c r="G8" s="1"/>
      <c r="H8" s="1"/>
      <c r="I8" s="1"/>
      <c r="J8" s="1"/>
      <c r="K8" s="1"/>
      <c r="L8" s="1"/>
      <c r="M8" s="1"/>
      <c r="N8" s="1"/>
      <c r="O8" s="1"/>
      <c r="P8" s="1"/>
      <c r="Q8" s="1">
        <v>799</v>
      </c>
      <c r="R8" s="1">
        <v>320565</v>
      </c>
      <c r="S8" s="1">
        <v>3499.08</v>
      </c>
      <c r="T8" s="1">
        <v>408.125</v>
      </c>
      <c r="U8" s="1">
        <v>16</v>
      </c>
      <c r="V8" s="1"/>
      <c r="W8" s="1"/>
      <c r="X8" s="1"/>
      <c r="Y8" s="1"/>
      <c r="Z8" s="1"/>
      <c r="AA8" s="1">
        <v>799</v>
      </c>
      <c r="AB8" s="1">
        <v>320565</v>
      </c>
      <c r="AC8" s="1">
        <v>3499.08</v>
      </c>
      <c r="AD8" s="1">
        <v>408.125</v>
      </c>
      <c r="AE8" s="1">
        <v>16</v>
      </c>
    </row>
    <row r="9" spans="1:31" x14ac:dyDescent="0.35">
      <c r="A9" t="s">
        <v>23</v>
      </c>
      <c r="B9" s="1"/>
      <c r="C9" s="1"/>
      <c r="D9" s="1"/>
      <c r="E9" s="1"/>
      <c r="F9" s="1"/>
      <c r="G9" s="1">
        <v>16.5</v>
      </c>
      <c r="H9" s="1">
        <v>5675</v>
      </c>
      <c r="I9" s="1">
        <v>20.95</v>
      </c>
      <c r="J9" s="1">
        <v>342.67</v>
      </c>
      <c r="K9" s="1">
        <v>1</v>
      </c>
      <c r="L9" s="1">
        <v>8180.5300000000034</v>
      </c>
      <c r="M9" s="1">
        <v>3580989</v>
      </c>
      <c r="N9" s="1">
        <v>376307.05000000022</v>
      </c>
      <c r="O9" s="1">
        <v>388.74512024896273</v>
      </c>
      <c r="P9" s="1">
        <v>520</v>
      </c>
      <c r="Q9" s="1"/>
      <c r="R9" s="1"/>
      <c r="S9" s="1"/>
      <c r="T9" s="1"/>
      <c r="U9" s="1"/>
      <c r="V9" s="1"/>
      <c r="W9" s="1"/>
      <c r="X9" s="1"/>
      <c r="Y9" s="1"/>
      <c r="Z9" s="1"/>
      <c r="AA9" s="1">
        <v>8197.0300000000025</v>
      </c>
      <c r="AB9" s="1">
        <v>3586664</v>
      </c>
      <c r="AC9" s="1">
        <v>376328.00000000023</v>
      </c>
      <c r="AD9" s="1">
        <v>731.41512024896269</v>
      </c>
      <c r="AE9" s="1">
        <v>521</v>
      </c>
    </row>
    <row r="10" spans="1:31" x14ac:dyDescent="0.35">
      <c r="A10" t="s">
        <v>25</v>
      </c>
      <c r="B10" s="1"/>
      <c r="C10" s="1"/>
      <c r="D10" s="1"/>
      <c r="E10" s="1"/>
      <c r="F10" s="1"/>
      <c r="G10" s="1">
        <v>3</v>
      </c>
      <c r="H10" s="1">
        <v>1250</v>
      </c>
      <c r="I10" s="1">
        <v>317.48</v>
      </c>
      <c r="J10" s="1">
        <v>310.83999999999997</v>
      </c>
      <c r="K10" s="1">
        <v>1</v>
      </c>
      <c r="L10" s="1">
        <v>1555.1100000000001</v>
      </c>
      <c r="M10" s="1">
        <v>738098</v>
      </c>
      <c r="N10" s="1">
        <v>107375.03999999989</v>
      </c>
      <c r="O10" s="1">
        <v>406.51517095541431</v>
      </c>
      <c r="P10" s="1">
        <v>231</v>
      </c>
      <c r="Q10" s="1"/>
      <c r="R10" s="1"/>
      <c r="S10" s="1"/>
      <c r="T10" s="1"/>
      <c r="U10" s="1"/>
      <c r="V10" s="1"/>
      <c r="W10" s="1"/>
      <c r="X10" s="1"/>
      <c r="Y10" s="1"/>
      <c r="Z10" s="1"/>
      <c r="AA10" s="1">
        <v>1558.1100000000001</v>
      </c>
      <c r="AB10" s="1">
        <v>739348</v>
      </c>
      <c r="AC10" s="1">
        <v>107692.51999999989</v>
      </c>
      <c r="AD10" s="1">
        <v>717.35517095541422</v>
      </c>
      <c r="AE10" s="1">
        <v>232</v>
      </c>
    </row>
    <row r="11" spans="1:31" x14ac:dyDescent="0.35">
      <c r="A11" t="s">
        <v>12</v>
      </c>
      <c r="B11" s="1">
        <v>8.9</v>
      </c>
      <c r="C11" s="1">
        <v>2450</v>
      </c>
      <c r="D11" s="1">
        <v>212.13</v>
      </c>
      <c r="E11" s="1">
        <v>251.44499999999999</v>
      </c>
      <c r="F11" s="1">
        <v>1</v>
      </c>
      <c r="G11" s="1">
        <v>1365.7599999999998</v>
      </c>
      <c r="H11" s="1">
        <v>533734</v>
      </c>
      <c r="I11" s="1">
        <v>29480.99</v>
      </c>
      <c r="J11" s="1">
        <v>349.76317796610164</v>
      </c>
      <c r="K11" s="1">
        <v>34</v>
      </c>
      <c r="L11" s="1">
        <v>80378.126000000033</v>
      </c>
      <c r="M11" s="1">
        <v>35472721.5</v>
      </c>
      <c r="N11" s="1">
        <v>3624055.7500000126</v>
      </c>
      <c r="O11" s="1">
        <v>392.75499644618657</v>
      </c>
      <c r="P11" s="1">
        <v>3495</v>
      </c>
      <c r="Q11" s="1"/>
      <c r="R11" s="1"/>
      <c r="S11" s="1"/>
      <c r="T11" s="1"/>
      <c r="U11" s="1"/>
      <c r="V11" s="1"/>
      <c r="W11" s="1"/>
      <c r="X11" s="1"/>
      <c r="Y11" s="1"/>
      <c r="Z11" s="1"/>
      <c r="AA11" s="1">
        <v>81752.786000000036</v>
      </c>
      <c r="AB11" s="1">
        <v>36008905.5</v>
      </c>
      <c r="AC11" s="1">
        <v>3653748.8700000127</v>
      </c>
      <c r="AD11" s="1">
        <v>993.96317441228825</v>
      </c>
      <c r="AE11" s="1">
        <v>3530</v>
      </c>
    </row>
    <row r="12" spans="1:31" x14ac:dyDescent="0.35">
      <c r="A12" t="s">
        <v>31</v>
      </c>
      <c r="B12" s="1"/>
      <c r="C12" s="1"/>
      <c r="D12" s="1"/>
      <c r="E12" s="1"/>
      <c r="F12" s="1"/>
      <c r="G12" s="1"/>
      <c r="H12" s="1"/>
      <c r="I12" s="1"/>
      <c r="J12" s="1"/>
      <c r="K12" s="1"/>
      <c r="L12" s="1">
        <v>331.79999999999995</v>
      </c>
      <c r="M12" s="1">
        <v>147451</v>
      </c>
      <c r="N12" s="1">
        <v>13837.57</v>
      </c>
      <c r="O12" s="1">
        <v>408.26903589743591</v>
      </c>
      <c r="P12" s="1">
        <v>39</v>
      </c>
      <c r="Q12" s="1"/>
      <c r="R12" s="1"/>
      <c r="S12" s="1"/>
      <c r="T12" s="1"/>
      <c r="U12" s="1"/>
      <c r="V12" s="1"/>
      <c r="W12" s="1"/>
      <c r="X12" s="1"/>
      <c r="Y12" s="1"/>
      <c r="Z12" s="1"/>
      <c r="AA12" s="1">
        <v>331.79999999999995</v>
      </c>
      <c r="AB12" s="1">
        <v>147451</v>
      </c>
      <c r="AC12" s="1">
        <v>13837.57</v>
      </c>
      <c r="AD12" s="1">
        <v>408.26903589743591</v>
      </c>
      <c r="AE12" s="1">
        <v>39</v>
      </c>
    </row>
    <row r="13" spans="1:31" x14ac:dyDescent="0.35">
      <c r="A13" t="s">
        <v>26</v>
      </c>
      <c r="B13" s="1"/>
      <c r="C13" s="1"/>
      <c r="D13" s="1"/>
      <c r="E13" s="1"/>
      <c r="F13" s="1"/>
      <c r="G13" s="1"/>
      <c r="H13" s="1"/>
      <c r="I13" s="1"/>
      <c r="J13" s="1"/>
      <c r="K13" s="1"/>
      <c r="L13" s="1">
        <v>1282.9699999999996</v>
      </c>
      <c r="M13" s="1">
        <v>577485</v>
      </c>
      <c r="N13" s="1">
        <v>98181.809999999983</v>
      </c>
      <c r="O13" s="1">
        <v>372.68282904761912</v>
      </c>
      <c r="P13" s="1">
        <v>84</v>
      </c>
      <c r="Q13" s="1"/>
      <c r="R13" s="1"/>
      <c r="S13" s="1"/>
      <c r="T13" s="1"/>
      <c r="U13" s="1"/>
      <c r="V13" s="1"/>
      <c r="W13" s="1"/>
      <c r="X13" s="1"/>
      <c r="Y13" s="1"/>
      <c r="Z13" s="1"/>
      <c r="AA13" s="1">
        <v>1282.9699999999996</v>
      </c>
      <c r="AB13" s="1">
        <v>577485</v>
      </c>
      <c r="AC13" s="1">
        <v>98181.809999999983</v>
      </c>
      <c r="AD13" s="1">
        <v>372.68282904761912</v>
      </c>
      <c r="AE13" s="1">
        <v>84</v>
      </c>
    </row>
    <row r="14" spans="1:31" x14ac:dyDescent="0.35">
      <c r="A14" t="s">
        <v>9</v>
      </c>
      <c r="B14" s="1">
        <v>11.830000000000002</v>
      </c>
      <c r="C14" s="1">
        <v>6290</v>
      </c>
      <c r="D14" s="1">
        <v>2488.5099999999998</v>
      </c>
      <c r="E14" s="1">
        <v>319.30211538461538</v>
      </c>
      <c r="F14" s="1">
        <v>13</v>
      </c>
      <c r="G14" s="1">
        <v>20.63</v>
      </c>
      <c r="H14" s="1">
        <v>10030</v>
      </c>
      <c r="I14" s="1">
        <v>2347.04</v>
      </c>
      <c r="J14" s="1">
        <v>368.29270833333339</v>
      </c>
      <c r="K14" s="1">
        <v>12</v>
      </c>
      <c r="L14" s="1">
        <v>129777.90300000024</v>
      </c>
      <c r="M14" s="1">
        <v>57208828.530000001</v>
      </c>
      <c r="N14" s="1">
        <v>5804270.4400000414</v>
      </c>
      <c r="O14" s="1">
        <v>393.21335193289286</v>
      </c>
      <c r="P14" s="1">
        <v>12400</v>
      </c>
      <c r="Q14" s="1"/>
      <c r="R14" s="1"/>
      <c r="S14" s="1"/>
      <c r="T14" s="1"/>
      <c r="U14" s="1"/>
      <c r="V14" s="1"/>
      <c r="W14" s="1"/>
      <c r="X14" s="1"/>
      <c r="Y14" s="1"/>
      <c r="Z14" s="1"/>
      <c r="AA14" s="1">
        <v>129810.36300000024</v>
      </c>
      <c r="AB14" s="1">
        <v>57225148.530000001</v>
      </c>
      <c r="AC14" s="1">
        <v>5809105.9900000412</v>
      </c>
      <c r="AD14" s="1">
        <v>1080.8081756508416</v>
      </c>
      <c r="AE14" s="1">
        <v>12425</v>
      </c>
    </row>
    <row r="15" spans="1:31" x14ac:dyDescent="0.35">
      <c r="A15" t="s">
        <v>32</v>
      </c>
      <c r="B15" s="1"/>
      <c r="C15" s="1"/>
      <c r="D15" s="1"/>
      <c r="E15" s="1"/>
      <c r="F15" s="1"/>
      <c r="G15" s="1"/>
      <c r="H15" s="1"/>
      <c r="I15" s="1"/>
      <c r="J15" s="1"/>
      <c r="K15" s="1"/>
      <c r="L15" s="1">
        <v>147.83000000000004</v>
      </c>
      <c r="M15" s="1">
        <v>66235</v>
      </c>
      <c r="N15" s="1">
        <v>9471.9599999999973</v>
      </c>
      <c r="O15" s="1">
        <v>386.27904761904767</v>
      </c>
      <c r="P15" s="1">
        <v>21</v>
      </c>
      <c r="Q15" s="1"/>
      <c r="R15" s="1"/>
      <c r="S15" s="1"/>
      <c r="T15" s="1"/>
      <c r="U15" s="1"/>
      <c r="V15" s="1"/>
      <c r="W15" s="1"/>
      <c r="X15" s="1"/>
      <c r="Y15" s="1"/>
      <c r="Z15" s="1"/>
      <c r="AA15" s="1">
        <v>147.83000000000004</v>
      </c>
      <c r="AB15" s="1">
        <v>66235</v>
      </c>
      <c r="AC15" s="1">
        <v>9471.9599999999973</v>
      </c>
      <c r="AD15" s="1">
        <v>386.27904761904767</v>
      </c>
      <c r="AE15" s="1">
        <v>21</v>
      </c>
    </row>
    <row r="16" spans="1:31" x14ac:dyDescent="0.35">
      <c r="A16" t="s">
        <v>20</v>
      </c>
      <c r="B16" s="1"/>
      <c r="C16" s="1"/>
      <c r="D16" s="1"/>
      <c r="E16" s="1"/>
      <c r="F16" s="1"/>
      <c r="G16" s="1">
        <v>20.170000000000002</v>
      </c>
      <c r="H16" s="1">
        <v>7905.18</v>
      </c>
      <c r="I16" s="1">
        <v>1085.3699999999999</v>
      </c>
      <c r="J16" s="1">
        <v>341.92500000000001</v>
      </c>
      <c r="K16" s="1">
        <v>4</v>
      </c>
      <c r="L16" s="1">
        <v>17553.18</v>
      </c>
      <c r="M16" s="1">
        <v>7336657.0599999977</v>
      </c>
      <c r="N16" s="1">
        <v>266709.59000000026</v>
      </c>
      <c r="O16" s="1">
        <v>398.14219330943894</v>
      </c>
      <c r="P16" s="1">
        <v>1612</v>
      </c>
      <c r="Q16" s="1"/>
      <c r="R16" s="1"/>
      <c r="S16" s="1"/>
      <c r="T16" s="1"/>
      <c r="U16" s="1"/>
      <c r="V16" s="1"/>
      <c r="W16" s="1"/>
      <c r="X16" s="1"/>
      <c r="Y16" s="1"/>
      <c r="Z16" s="1"/>
      <c r="AA16" s="1">
        <v>17573.349999999999</v>
      </c>
      <c r="AB16" s="1">
        <v>7344562.2399999974</v>
      </c>
      <c r="AC16" s="1">
        <v>267794.96000000025</v>
      </c>
      <c r="AD16" s="1">
        <v>740.06719330943895</v>
      </c>
      <c r="AE16" s="1">
        <v>1616</v>
      </c>
    </row>
    <row r="17" spans="1:31" x14ac:dyDescent="0.35">
      <c r="A17" t="s">
        <v>13</v>
      </c>
      <c r="B17" s="1">
        <v>9.379999999999999</v>
      </c>
      <c r="C17" s="1">
        <v>4290</v>
      </c>
      <c r="D17" s="1">
        <v>1448.92</v>
      </c>
      <c r="E17" s="1">
        <v>300.26333333333332</v>
      </c>
      <c r="F17" s="1">
        <v>6</v>
      </c>
      <c r="G17" s="1">
        <v>330.36000000000024</v>
      </c>
      <c r="H17" s="1">
        <v>149019</v>
      </c>
      <c r="I17" s="1">
        <v>32269.690000000017</v>
      </c>
      <c r="J17" s="1">
        <v>351.9007894736842</v>
      </c>
      <c r="K17" s="1">
        <v>127</v>
      </c>
      <c r="L17" s="1">
        <v>63974.022999999899</v>
      </c>
      <c r="M17" s="1">
        <v>30150165.82</v>
      </c>
      <c r="N17" s="1">
        <v>4816060.4999999739</v>
      </c>
      <c r="O17" s="1">
        <v>394.88952559004241</v>
      </c>
      <c r="P17" s="1">
        <v>15110</v>
      </c>
      <c r="Q17" s="1"/>
      <c r="R17" s="1"/>
      <c r="S17" s="1"/>
      <c r="T17" s="1"/>
      <c r="U17" s="1"/>
      <c r="V17" s="1"/>
      <c r="W17" s="1"/>
      <c r="X17" s="1"/>
      <c r="Y17" s="1"/>
      <c r="Z17" s="1"/>
      <c r="AA17" s="1">
        <v>64313.762999999897</v>
      </c>
      <c r="AB17" s="1">
        <v>30303474.82</v>
      </c>
      <c r="AC17" s="1">
        <v>4849779.1099999743</v>
      </c>
      <c r="AD17" s="1">
        <v>1047.05364839706</v>
      </c>
      <c r="AE17" s="1">
        <v>15243</v>
      </c>
    </row>
    <row r="18" spans="1:31" x14ac:dyDescent="0.35">
      <c r="A18" t="s">
        <v>7</v>
      </c>
      <c r="B18" s="1"/>
      <c r="C18" s="1"/>
      <c r="D18" s="1"/>
      <c r="E18" s="1"/>
      <c r="F18" s="1"/>
      <c r="G18" s="1"/>
      <c r="H18" s="1"/>
      <c r="I18" s="1"/>
      <c r="J18" s="1"/>
      <c r="K18" s="1"/>
      <c r="L18" s="1"/>
      <c r="M18" s="1"/>
      <c r="N18" s="1"/>
      <c r="O18" s="1"/>
      <c r="P18" s="1"/>
      <c r="Q18" s="1">
        <v>223254.59200000524</v>
      </c>
      <c r="R18" s="1">
        <v>100479453.07999989</v>
      </c>
      <c r="S18" s="1">
        <v>2565085.7300000112</v>
      </c>
      <c r="T18" s="1">
        <v>440.77292352349076</v>
      </c>
      <c r="U18" s="1">
        <v>8869</v>
      </c>
      <c r="V18" s="1"/>
      <c r="W18" s="1"/>
      <c r="X18" s="1"/>
      <c r="Y18" s="1"/>
      <c r="Z18" s="1"/>
      <c r="AA18" s="1">
        <v>223254.59200000524</v>
      </c>
      <c r="AB18" s="1">
        <v>100479453.07999989</v>
      </c>
      <c r="AC18" s="1">
        <v>2565085.7300000112</v>
      </c>
      <c r="AD18" s="1">
        <v>440.77292352349076</v>
      </c>
      <c r="AE18" s="1">
        <v>8869</v>
      </c>
    </row>
    <row r="19" spans="1:31" x14ac:dyDescent="0.35">
      <c r="A19" t="s">
        <v>30</v>
      </c>
      <c r="B19" s="1"/>
      <c r="C19" s="1"/>
      <c r="D19" s="1"/>
      <c r="E19" s="1"/>
      <c r="F19" s="1"/>
      <c r="G19" s="1"/>
      <c r="H19" s="1"/>
      <c r="I19" s="1"/>
      <c r="J19" s="1"/>
      <c r="K19" s="1"/>
      <c r="L19" s="1">
        <v>406.27</v>
      </c>
      <c r="M19" s="1">
        <v>215721.99</v>
      </c>
      <c r="N19" s="1">
        <v>40082.01</v>
      </c>
      <c r="O19" s="1">
        <v>433.32608695652181</v>
      </c>
      <c r="P19" s="1">
        <v>21</v>
      </c>
      <c r="Q19" s="1"/>
      <c r="R19" s="1"/>
      <c r="S19" s="1"/>
      <c r="T19" s="1"/>
      <c r="U19" s="1"/>
      <c r="V19" s="1"/>
      <c r="W19" s="1"/>
      <c r="X19" s="1"/>
      <c r="Y19" s="1"/>
      <c r="Z19" s="1"/>
      <c r="AA19" s="1">
        <v>406.27</v>
      </c>
      <c r="AB19" s="1">
        <v>215721.99</v>
      </c>
      <c r="AC19" s="1">
        <v>40082.01</v>
      </c>
      <c r="AD19" s="1">
        <v>433.32608695652181</v>
      </c>
      <c r="AE19" s="1">
        <v>21</v>
      </c>
    </row>
    <row r="20" spans="1:31" x14ac:dyDescent="0.35">
      <c r="A20" t="s">
        <v>29</v>
      </c>
      <c r="B20" s="1"/>
      <c r="C20" s="1"/>
      <c r="D20" s="1"/>
      <c r="E20" s="1"/>
      <c r="F20" s="1"/>
      <c r="G20" s="1">
        <v>23.799999999999997</v>
      </c>
      <c r="H20" s="1">
        <v>10305</v>
      </c>
      <c r="I20" s="1">
        <v>2175.46</v>
      </c>
      <c r="J20" s="1">
        <v>343.26321428571424</v>
      </c>
      <c r="K20" s="1">
        <v>7</v>
      </c>
      <c r="L20" s="1">
        <v>581.46999999999991</v>
      </c>
      <c r="M20" s="1">
        <v>274290</v>
      </c>
      <c r="N20" s="1">
        <v>35517.509999999995</v>
      </c>
      <c r="O20" s="1">
        <v>430.04763300000002</v>
      </c>
      <c r="P20" s="1">
        <v>39</v>
      </c>
      <c r="Q20" s="1"/>
      <c r="R20" s="1"/>
      <c r="S20" s="1"/>
      <c r="T20" s="1"/>
      <c r="U20" s="1"/>
      <c r="V20" s="1"/>
      <c r="W20" s="1"/>
      <c r="X20" s="1"/>
      <c r="Y20" s="1"/>
      <c r="Z20" s="1"/>
      <c r="AA20" s="1">
        <v>605.26999999999987</v>
      </c>
      <c r="AB20" s="1">
        <v>284595</v>
      </c>
      <c r="AC20" s="1">
        <v>37692.969999999994</v>
      </c>
      <c r="AD20" s="1">
        <v>773.31084728571432</v>
      </c>
      <c r="AE20" s="1">
        <v>46</v>
      </c>
    </row>
    <row r="21" spans="1:31" x14ac:dyDescent="0.35">
      <c r="A21" t="s">
        <v>22</v>
      </c>
      <c r="B21" s="1">
        <v>16.86</v>
      </c>
      <c r="C21" s="1">
        <v>9140</v>
      </c>
      <c r="D21" s="1">
        <v>3803.0699999999997</v>
      </c>
      <c r="E21" s="1">
        <v>302.26972222222219</v>
      </c>
      <c r="F21" s="1">
        <v>18</v>
      </c>
      <c r="G21" s="1">
        <v>203.24000000000004</v>
      </c>
      <c r="H21" s="1">
        <v>90733</v>
      </c>
      <c r="I21" s="1">
        <v>19681.520000000004</v>
      </c>
      <c r="J21" s="1">
        <v>350.43582770270268</v>
      </c>
      <c r="K21" s="1">
        <v>70</v>
      </c>
      <c r="L21" s="1">
        <v>7522.537000000013</v>
      </c>
      <c r="M21" s="1">
        <v>3738407.5</v>
      </c>
      <c r="N21" s="1">
        <v>684465.09999999835</v>
      </c>
      <c r="O21" s="1">
        <v>395.20688410767752</v>
      </c>
      <c r="P21" s="1">
        <v>2875</v>
      </c>
      <c r="Q21" s="1"/>
      <c r="R21" s="1"/>
      <c r="S21" s="1"/>
      <c r="T21" s="1"/>
      <c r="U21" s="1"/>
      <c r="V21" s="1"/>
      <c r="W21" s="1"/>
      <c r="X21" s="1"/>
      <c r="Y21" s="1"/>
      <c r="Z21" s="1"/>
      <c r="AA21" s="1">
        <v>7742.6370000000134</v>
      </c>
      <c r="AB21" s="1">
        <v>3838280.5</v>
      </c>
      <c r="AC21" s="1">
        <v>707949.68999999831</v>
      </c>
      <c r="AD21" s="1">
        <v>1047.9124340326025</v>
      </c>
      <c r="AE21" s="1">
        <v>2963</v>
      </c>
    </row>
    <row r="22" spans="1:31" x14ac:dyDescent="0.35">
      <c r="A22" t="s">
        <v>33</v>
      </c>
      <c r="B22" s="1"/>
      <c r="C22" s="1"/>
      <c r="D22" s="1"/>
      <c r="E22" s="1"/>
      <c r="F22" s="1"/>
      <c r="G22" s="1"/>
      <c r="H22" s="1"/>
      <c r="I22" s="1"/>
      <c r="J22" s="1"/>
      <c r="K22" s="1"/>
      <c r="L22" s="1">
        <v>48.429999999999993</v>
      </c>
      <c r="M22" s="1">
        <v>26830</v>
      </c>
      <c r="N22" s="1">
        <v>8005.32</v>
      </c>
      <c r="O22" s="1">
        <v>385.11364761904764</v>
      </c>
      <c r="P22" s="1">
        <v>41</v>
      </c>
      <c r="Q22" s="1"/>
      <c r="R22" s="1"/>
      <c r="S22" s="1"/>
      <c r="T22" s="1"/>
      <c r="U22" s="1"/>
      <c r="V22" s="1"/>
      <c r="W22" s="1"/>
      <c r="X22" s="1"/>
      <c r="Y22" s="1"/>
      <c r="Z22" s="1"/>
      <c r="AA22" s="1">
        <v>48.429999999999993</v>
      </c>
      <c r="AB22" s="1">
        <v>26830</v>
      </c>
      <c r="AC22" s="1">
        <v>8005.32</v>
      </c>
      <c r="AD22" s="1">
        <v>385.11364761904764</v>
      </c>
      <c r="AE22" s="1">
        <v>41</v>
      </c>
    </row>
    <row r="23" spans="1:31" x14ac:dyDescent="0.35">
      <c r="A23" t="s">
        <v>11</v>
      </c>
      <c r="B23" s="1">
        <v>9</v>
      </c>
      <c r="C23" s="1">
        <v>3050</v>
      </c>
      <c r="D23" s="1">
        <v>367.37</v>
      </c>
      <c r="E23" s="1">
        <v>298.07</v>
      </c>
      <c r="F23" s="1">
        <v>1</v>
      </c>
      <c r="G23" s="1">
        <v>1458.5000000000005</v>
      </c>
      <c r="H23" s="1">
        <v>583520.76999999979</v>
      </c>
      <c r="I23" s="1">
        <v>68624.690000000031</v>
      </c>
      <c r="J23" s="1">
        <v>355.03227201257874</v>
      </c>
      <c r="K23" s="1">
        <v>135</v>
      </c>
      <c r="L23" s="1">
        <v>81955.505999999892</v>
      </c>
      <c r="M23" s="1">
        <v>36878051.870000005</v>
      </c>
      <c r="N23" s="1">
        <v>4521238.9600000139</v>
      </c>
      <c r="O23" s="1">
        <v>397.9716763159081</v>
      </c>
      <c r="P23" s="1">
        <v>4447</v>
      </c>
      <c r="Q23" s="1"/>
      <c r="R23" s="1"/>
      <c r="S23" s="1"/>
      <c r="T23" s="1"/>
      <c r="U23" s="1"/>
      <c r="V23" s="1"/>
      <c r="W23" s="1"/>
      <c r="X23" s="1"/>
      <c r="Y23" s="1"/>
      <c r="Z23" s="1"/>
      <c r="AA23" s="1">
        <v>83423.005999999892</v>
      </c>
      <c r="AB23" s="1">
        <v>37464622.640000008</v>
      </c>
      <c r="AC23" s="1">
        <v>4590231.0200000135</v>
      </c>
      <c r="AD23" s="1">
        <v>1051.0739483284869</v>
      </c>
      <c r="AE23" s="1">
        <v>4583</v>
      </c>
    </row>
    <row r="24" spans="1:31" x14ac:dyDescent="0.35">
      <c r="A24" t="s">
        <v>36</v>
      </c>
      <c r="B24" s="1"/>
      <c r="C24" s="1"/>
      <c r="D24" s="1"/>
      <c r="E24" s="1"/>
      <c r="F24" s="1"/>
      <c r="G24" s="1"/>
      <c r="H24" s="1"/>
      <c r="I24" s="1"/>
      <c r="J24" s="1"/>
      <c r="K24" s="1"/>
      <c r="L24" s="1">
        <v>9.7999999999999989</v>
      </c>
      <c r="M24" s="1">
        <v>8405</v>
      </c>
      <c r="N24" s="1">
        <v>3718.4999999999995</v>
      </c>
      <c r="O24" s="1">
        <v>478.10315789473691</v>
      </c>
      <c r="P24" s="1">
        <v>17</v>
      </c>
      <c r="Q24" s="1"/>
      <c r="R24" s="1"/>
      <c r="S24" s="1"/>
      <c r="T24" s="1"/>
      <c r="U24" s="1"/>
      <c r="V24" s="1"/>
      <c r="W24" s="1"/>
      <c r="X24" s="1"/>
      <c r="Y24" s="1"/>
      <c r="Z24" s="1"/>
      <c r="AA24" s="1">
        <v>9.7999999999999989</v>
      </c>
      <c r="AB24" s="1">
        <v>8405</v>
      </c>
      <c r="AC24" s="1">
        <v>3718.4999999999995</v>
      </c>
      <c r="AD24" s="1">
        <v>478.10315789473691</v>
      </c>
      <c r="AE24" s="1">
        <v>17</v>
      </c>
    </row>
    <row r="25" spans="1:31" x14ac:dyDescent="0.35">
      <c r="A25" t="s">
        <v>15</v>
      </c>
      <c r="B25" s="1">
        <v>27.600000000000122</v>
      </c>
      <c r="C25" s="1">
        <v>20951.349999999995</v>
      </c>
      <c r="D25" s="1">
        <v>12040.929999999998</v>
      </c>
      <c r="E25" s="1">
        <v>308.55133152173914</v>
      </c>
      <c r="F25" s="1">
        <v>214</v>
      </c>
      <c r="G25" s="1">
        <v>294.53000000000026</v>
      </c>
      <c r="H25" s="1">
        <v>128229.1</v>
      </c>
      <c r="I25" s="1">
        <v>21095.089999999989</v>
      </c>
      <c r="J25" s="1">
        <v>364.26781716417912</v>
      </c>
      <c r="K25" s="1">
        <v>65</v>
      </c>
      <c r="L25" s="1">
        <v>22543.528999999904</v>
      </c>
      <c r="M25" s="1">
        <v>10385006</v>
      </c>
      <c r="N25" s="1">
        <v>1485045.8200000038</v>
      </c>
      <c r="O25" s="1">
        <v>392.8557042821796</v>
      </c>
      <c r="P25" s="1">
        <v>3078</v>
      </c>
      <c r="Q25" s="1"/>
      <c r="R25" s="1"/>
      <c r="S25" s="1"/>
      <c r="T25" s="1"/>
      <c r="U25" s="1"/>
      <c r="V25" s="1"/>
      <c r="W25" s="1"/>
      <c r="X25" s="1"/>
      <c r="Y25" s="1"/>
      <c r="Z25" s="1"/>
      <c r="AA25" s="1">
        <v>22865.658999999905</v>
      </c>
      <c r="AB25" s="1">
        <v>10534186.449999999</v>
      </c>
      <c r="AC25" s="1">
        <v>1518181.8400000038</v>
      </c>
      <c r="AD25" s="1">
        <v>1065.6748529680979</v>
      </c>
      <c r="AE25" s="1">
        <v>3357</v>
      </c>
    </row>
    <row r="26" spans="1:31" x14ac:dyDescent="0.35">
      <c r="A26" t="s">
        <v>14</v>
      </c>
      <c r="B26" s="1">
        <v>27.549999999999997</v>
      </c>
      <c r="C26" s="1">
        <v>14491.96</v>
      </c>
      <c r="D26" s="1">
        <v>5115.74</v>
      </c>
      <c r="E26" s="1">
        <v>339.16223214285714</v>
      </c>
      <c r="F26" s="1">
        <v>28</v>
      </c>
      <c r="G26" s="1">
        <v>414.77899999999988</v>
      </c>
      <c r="H26" s="1">
        <v>178943.62</v>
      </c>
      <c r="I26" s="1">
        <v>39852.889999999985</v>
      </c>
      <c r="J26" s="1">
        <v>333.7057592592592</v>
      </c>
      <c r="K26" s="1">
        <v>128</v>
      </c>
      <c r="L26" s="1">
        <v>35445.743999999671</v>
      </c>
      <c r="M26" s="1">
        <v>17199625.009999998</v>
      </c>
      <c r="N26" s="1">
        <v>3168000.0600000168</v>
      </c>
      <c r="O26" s="1">
        <v>397.29003078270728</v>
      </c>
      <c r="P26" s="1">
        <v>11412</v>
      </c>
      <c r="Q26" s="1"/>
      <c r="R26" s="1"/>
      <c r="S26" s="1"/>
      <c r="T26" s="1"/>
      <c r="U26" s="1"/>
      <c r="V26" s="1"/>
      <c r="W26" s="1"/>
      <c r="X26" s="1"/>
      <c r="Y26" s="1"/>
      <c r="Z26" s="1"/>
      <c r="AA26" s="1">
        <v>35888.072999999669</v>
      </c>
      <c r="AB26" s="1">
        <v>17393060.589999996</v>
      </c>
      <c r="AC26" s="1">
        <v>3212968.6900000167</v>
      </c>
      <c r="AD26" s="1">
        <v>1070.1580221848235</v>
      </c>
      <c r="AE26" s="1">
        <v>11568</v>
      </c>
    </row>
    <row r="27" spans="1:31" x14ac:dyDescent="0.35">
      <c r="A27" t="s">
        <v>16</v>
      </c>
      <c r="B27" s="1"/>
      <c r="C27" s="1"/>
      <c r="D27" s="1"/>
      <c r="E27" s="1"/>
      <c r="F27" s="1"/>
      <c r="G27" s="1"/>
      <c r="H27" s="1"/>
      <c r="I27" s="1"/>
      <c r="J27" s="1"/>
      <c r="K27" s="1"/>
      <c r="L27" s="1"/>
      <c r="M27" s="1"/>
      <c r="N27" s="1"/>
      <c r="O27" s="1"/>
      <c r="P27" s="1"/>
      <c r="Q27" s="1"/>
      <c r="R27" s="1"/>
      <c r="S27" s="1"/>
      <c r="T27" s="1"/>
      <c r="U27" s="1"/>
      <c r="V27" s="1">
        <v>933738.5</v>
      </c>
      <c r="W27" s="1">
        <v>10179776.890000001</v>
      </c>
      <c r="X27" s="1">
        <v>824856.17999999889</v>
      </c>
      <c r="Y27" s="1">
        <v>8.3827708978328204</v>
      </c>
      <c r="Z27" s="1">
        <v>666</v>
      </c>
      <c r="AA27" s="1">
        <v>933738.5</v>
      </c>
      <c r="AB27" s="1">
        <v>10179776.890000001</v>
      </c>
      <c r="AC27" s="1">
        <v>824856.17999999889</v>
      </c>
      <c r="AD27" s="1">
        <v>8.3827708978328204</v>
      </c>
      <c r="AE27" s="1">
        <v>666</v>
      </c>
    </row>
    <row r="28" spans="1:31" x14ac:dyDescent="0.35">
      <c r="A28" t="s">
        <v>35</v>
      </c>
      <c r="B28" s="1"/>
      <c r="C28" s="1"/>
      <c r="D28" s="1"/>
      <c r="E28" s="1"/>
      <c r="F28" s="1"/>
      <c r="G28" s="1"/>
      <c r="H28" s="1"/>
      <c r="I28" s="1"/>
      <c r="J28" s="1"/>
      <c r="K28" s="1"/>
      <c r="L28" s="1"/>
      <c r="M28" s="1"/>
      <c r="N28" s="1"/>
      <c r="O28" s="1"/>
      <c r="P28" s="1"/>
      <c r="Q28" s="1"/>
      <c r="R28" s="1"/>
      <c r="S28" s="1"/>
      <c r="T28" s="1"/>
      <c r="U28" s="1"/>
      <c r="V28" s="1">
        <v>767.70000000000016</v>
      </c>
      <c r="W28" s="1">
        <v>9832.49</v>
      </c>
      <c r="X28" s="1">
        <v>4884.1799999999994</v>
      </c>
      <c r="Y28" s="1">
        <v>6.5500000000000007</v>
      </c>
      <c r="Z28" s="1">
        <v>12</v>
      </c>
      <c r="AA28" s="1">
        <v>767.70000000000016</v>
      </c>
      <c r="AB28" s="1">
        <v>9832.49</v>
      </c>
      <c r="AC28" s="1">
        <v>4884.1799999999994</v>
      </c>
      <c r="AD28" s="1">
        <v>6.5500000000000007</v>
      </c>
      <c r="AE28" s="1">
        <v>12</v>
      </c>
    </row>
    <row r="29" spans="1:31" x14ac:dyDescent="0.35">
      <c r="A29" t="s">
        <v>17</v>
      </c>
      <c r="B29" s="1"/>
      <c r="C29" s="1"/>
      <c r="D29" s="1"/>
      <c r="E29" s="1"/>
      <c r="F29" s="1"/>
      <c r="G29" s="1"/>
      <c r="H29" s="1"/>
      <c r="I29" s="1"/>
      <c r="J29" s="1"/>
      <c r="K29" s="1"/>
      <c r="L29" s="1"/>
      <c r="M29" s="1"/>
      <c r="N29" s="1"/>
      <c r="O29" s="1"/>
      <c r="P29" s="1"/>
      <c r="Q29" s="1"/>
      <c r="R29" s="1"/>
      <c r="S29" s="1"/>
      <c r="T29" s="1"/>
      <c r="U29" s="1"/>
      <c r="V29" s="1">
        <v>794503.79999999958</v>
      </c>
      <c r="W29" s="1">
        <v>9354646.6400000025</v>
      </c>
      <c r="X29" s="1">
        <v>564536.13999999978</v>
      </c>
      <c r="Y29" s="1">
        <v>10.110878489326728</v>
      </c>
      <c r="Z29" s="1">
        <v>700</v>
      </c>
      <c r="AA29" s="1">
        <v>794503.79999999958</v>
      </c>
      <c r="AB29" s="1">
        <v>9354646.6400000025</v>
      </c>
      <c r="AC29" s="1">
        <v>564536.13999999978</v>
      </c>
      <c r="AD29" s="1">
        <v>10.110878489326728</v>
      </c>
      <c r="AE29" s="1">
        <v>700</v>
      </c>
    </row>
    <row r="30" spans="1:31" x14ac:dyDescent="0.35">
      <c r="A30" t="s">
        <v>28</v>
      </c>
      <c r="B30" s="1"/>
      <c r="C30" s="1"/>
      <c r="D30" s="1"/>
      <c r="E30" s="1"/>
      <c r="F30" s="1"/>
      <c r="G30" s="1"/>
      <c r="H30" s="1"/>
      <c r="I30" s="1"/>
      <c r="J30" s="1"/>
      <c r="K30" s="1"/>
      <c r="L30" s="1">
        <v>635.82999999999993</v>
      </c>
      <c r="M30" s="1">
        <v>294250</v>
      </c>
      <c r="N30" s="1">
        <v>35189.839999999997</v>
      </c>
      <c r="O30" s="1">
        <v>413.59566511627901</v>
      </c>
      <c r="P30" s="1">
        <v>84</v>
      </c>
      <c r="Q30" s="1"/>
      <c r="R30" s="1"/>
      <c r="S30" s="1"/>
      <c r="T30" s="1"/>
      <c r="U30" s="1"/>
      <c r="V30" s="1"/>
      <c r="W30" s="1"/>
      <c r="X30" s="1"/>
      <c r="Y30" s="1"/>
      <c r="Z30" s="1"/>
      <c r="AA30" s="1">
        <v>635.82999999999993</v>
      </c>
      <c r="AB30" s="1">
        <v>294250</v>
      </c>
      <c r="AC30" s="1">
        <v>35189.839999999997</v>
      </c>
      <c r="AD30" s="1">
        <v>413.59566511627901</v>
      </c>
      <c r="AE30" s="1">
        <v>84</v>
      </c>
    </row>
    <row r="31" spans="1:31" x14ac:dyDescent="0.35">
      <c r="A31" t="s">
        <v>24</v>
      </c>
      <c r="B31" s="1">
        <v>13.85</v>
      </c>
      <c r="C31" s="1">
        <v>5775</v>
      </c>
      <c r="D31" s="1">
        <v>1458.4699999999998</v>
      </c>
      <c r="E31" s="1">
        <v>319.20666666666665</v>
      </c>
      <c r="F31" s="1">
        <v>3</v>
      </c>
      <c r="G31" s="1">
        <v>181.51000000000002</v>
      </c>
      <c r="H31" s="1">
        <v>81403</v>
      </c>
      <c r="I31" s="1">
        <v>20318.090000000004</v>
      </c>
      <c r="J31" s="1">
        <v>339.20428571428556</v>
      </c>
      <c r="K31" s="1">
        <v>79</v>
      </c>
      <c r="L31" s="1">
        <v>4584.4000000000015</v>
      </c>
      <c r="M31" s="1">
        <v>2314915.9900000002</v>
      </c>
      <c r="N31" s="1">
        <v>446811.28000000067</v>
      </c>
      <c r="O31" s="1">
        <v>407.73190272727248</v>
      </c>
      <c r="P31" s="1">
        <v>1109</v>
      </c>
      <c r="Q31" s="1"/>
      <c r="R31" s="1"/>
      <c r="S31" s="1"/>
      <c r="T31" s="1"/>
      <c r="U31" s="1"/>
      <c r="V31" s="1"/>
      <c r="W31" s="1"/>
      <c r="X31" s="1"/>
      <c r="Y31" s="1"/>
      <c r="Z31" s="1"/>
      <c r="AA31" s="1">
        <v>4779.7600000000011</v>
      </c>
      <c r="AB31" s="1">
        <v>2402093.9900000002</v>
      </c>
      <c r="AC31" s="1">
        <v>468587.84000000067</v>
      </c>
      <c r="AD31" s="1">
        <v>1066.1428551082247</v>
      </c>
      <c r="AE31" s="1">
        <v>1191</v>
      </c>
    </row>
    <row r="32" spans="1:31" x14ac:dyDescent="0.35">
      <c r="A32" t="s">
        <v>38</v>
      </c>
      <c r="B32" s="1">
        <v>124.97000000000011</v>
      </c>
      <c r="C32" s="1">
        <v>66438.31</v>
      </c>
      <c r="D32" s="1">
        <v>26935.14</v>
      </c>
      <c r="E32" s="1">
        <v>2438.2704012714339</v>
      </c>
      <c r="F32" s="1">
        <v>284</v>
      </c>
      <c r="G32" s="1">
        <v>25968.059999999936</v>
      </c>
      <c r="H32" s="1">
        <v>9736474.8699999973</v>
      </c>
      <c r="I32" s="1">
        <v>301752.25000000006</v>
      </c>
      <c r="J32" s="1">
        <v>4538.219132166616</v>
      </c>
      <c r="K32" s="1">
        <v>964</v>
      </c>
      <c r="L32" s="1">
        <v>472716.99799999967</v>
      </c>
      <c r="M32" s="1">
        <v>212618741.27000001</v>
      </c>
      <c r="N32" s="1">
        <v>25608713.490000062</v>
      </c>
      <c r="O32" s="1">
        <v>8078.9778061908346</v>
      </c>
      <c r="P32" s="1">
        <v>56952</v>
      </c>
      <c r="Q32" s="1">
        <v>224053.59200000524</v>
      </c>
      <c r="R32" s="1">
        <v>100800018.07999989</v>
      </c>
      <c r="S32" s="1">
        <v>2568584.8100000112</v>
      </c>
      <c r="T32" s="1">
        <v>848.89792352349082</v>
      </c>
      <c r="U32" s="1">
        <v>8885</v>
      </c>
      <c r="V32" s="1">
        <v>1729009.9999999995</v>
      </c>
      <c r="W32" s="1">
        <v>19544256.020000003</v>
      </c>
      <c r="X32" s="1">
        <v>1394276.4999999986</v>
      </c>
      <c r="Y32" s="1">
        <v>25.043649387159547</v>
      </c>
      <c r="Z32" s="1">
        <v>1378</v>
      </c>
      <c r="AA32" s="1">
        <v>2451873.6200000043</v>
      </c>
      <c r="AB32" s="1">
        <v>342765928.54999983</v>
      </c>
      <c r="AC32" s="1">
        <v>29900262.190000072</v>
      </c>
      <c r="AD32" s="1">
        <v>15929.408912539533</v>
      </c>
      <c r="AE32" s="1">
        <v>68463</v>
      </c>
    </row>
  </sheetData>
  <sortState xmlns:xlrd2="http://schemas.microsoft.com/office/spreadsheetml/2017/richdata2" columnSort="1" ref="A3:AE32">
    <sortCondition descending="1" ref="B5"/>
  </sortState>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7A405-B504-4D6B-ADEF-215F2823197F}">
  <dimension ref="A1:G47"/>
  <sheetViews>
    <sheetView topLeftCell="A2" workbookViewId="0">
      <selection activeCell="B10" sqref="B10"/>
    </sheetView>
  </sheetViews>
  <sheetFormatPr defaultRowHeight="14.5" x14ac:dyDescent="0.35"/>
  <cols>
    <col min="1" max="1" width="17.453125" bestFit="1" customWidth="1"/>
    <col min="2" max="2" width="13.26953125" bestFit="1" customWidth="1"/>
    <col min="3" max="3" width="11.81640625" bestFit="1" customWidth="1"/>
    <col min="4" max="4" width="13.1796875" bestFit="1" customWidth="1"/>
    <col min="5" max="5" width="17.08984375" bestFit="1" customWidth="1"/>
    <col min="6" max="6" width="16.26953125" bestFit="1" customWidth="1"/>
    <col min="7" max="7" width="18.54296875" bestFit="1" customWidth="1"/>
  </cols>
  <sheetData>
    <row r="1" spans="1:7" x14ac:dyDescent="0.35">
      <c r="A1" t="s">
        <v>0</v>
      </c>
      <c r="B1" t="s">
        <v>1</v>
      </c>
      <c r="C1" t="s">
        <v>2</v>
      </c>
      <c r="D1" t="s">
        <v>3</v>
      </c>
      <c r="E1" t="s">
        <v>4</v>
      </c>
      <c r="F1" t="s">
        <v>5</v>
      </c>
      <c r="G1" t="s">
        <v>6</v>
      </c>
    </row>
    <row r="2" spans="1:7" x14ac:dyDescent="0.35">
      <c r="A2" s="1" t="s">
        <v>7</v>
      </c>
      <c r="B2" s="1" t="s">
        <v>8</v>
      </c>
      <c r="C2">
        <v>100479453.07999989</v>
      </c>
      <c r="D2">
        <v>223254.59200000524</v>
      </c>
      <c r="E2">
        <v>2565085.7300000112</v>
      </c>
      <c r="F2">
        <v>440.77292352349076</v>
      </c>
      <c r="G2">
        <v>8869</v>
      </c>
    </row>
    <row r="3" spans="1:7" x14ac:dyDescent="0.35">
      <c r="A3" s="1" t="s">
        <v>9</v>
      </c>
      <c r="B3" s="1" t="s">
        <v>10</v>
      </c>
      <c r="C3">
        <v>57208828.530000001</v>
      </c>
      <c r="D3">
        <v>129777.90300000024</v>
      </c>
      <c r="E3">
        <v>5804270.4400000414</v>
      </c>
      <c r="F3">
        <v>393.21335193289286</v>
      </c>
      <c r="G3">
        <v>12400</v>
      </c>
    </row>
    <row r="4" spans="1:7" x14ac:dyDescent="0.35">
      <c r="A4" s="1" t="s">
        <v>11</v>
      </c>
      <c r="B4" s="1" t="s">
        <v>10</v>
      </c>
      <c r="C4">
        <v>36878051.870000005</v>
      </c>
      <c r="D4">
        <v>81955.505999999892</v>
      </c>
      <c r="E4">
        <v>4521238.9600000139</v>
      </c>
      <c r="F4">
        <v>397.9716763159081</v>
      </c>
      <c r="G4">
        <v>4447</v>
      </c>
    </row>
    <row r="5" spans="1:7" x14ac:dyDescent="0.35">
      <c r="A5" s="1" t="s">
        <v>12</v>
      </c>
      <c r="B5" s="1" t="s">
        <v>10</v>
      </c>
      <c r="C5">
        <v>35472721.5</v>
      </c>
      <c r="D5">
        <v>80378.126000000033</v>
      </c>
      <c r="E5">
        <v>3624055.7500000126</v>
      </c>
      <c r="F5">
        <v>392.75499644618657</v>
      </c>
      <c r="G5">
        <v>3495</v>
      </c>
    </row>
    <row r="6" spans="1:7" x14ac:dyDescent="0.35">
      <c r="A6" s="1" t="s">
        <v>13</v>
      </c>
      <c r="B6" s="1" t="s">
        <v>10</v>
      </c>
      <c r="C6">
        <v>30150165.82</v>
      </c>
      <c r="D6">
        <v>63974.022999999899</v>
      </c>
      <c r="E6">
        <v>4816060.4999999739</v>
      </c>
      <c r="F6">
        <v>394.88952559004241</v>
      </c>
      <c r="G6">
        <v>15110</v>
      </c>
    </row>
    <row r="7" spans="1:7" x14ac:dyDescent="0.35">
      <c r="A7" s="1" t="s">
        <v>14</v>
      </c>
      <c r="B7" s="1" t="s">
        <v>10</v>
      </c>
      <c r="C7">
        <v>17199625.009999998</v>
      </c>
      <c r="D7">
        <v>35445.743999999671</v>
      </c>
      <c r="E7">
        <v>3168000.0600000168</v>
      </c>
      <c r="F7">
        <v>397.29003078270728</v>
      </c>
      <c r="G7">
        <v>11412</v>
      </c>
    </row>
    <row r="8" spans="1:7" x14ac:dyDescent="0.35">
      <c r="A8" s="1" t="s">
        <v>15</v>
      </c>
      <c r="B8" s="1" t="s">
        <v>10</v>
      </c>
      <c r="C8">
        <v>10385006</v>
      </c>
      <c r="D8">
        <v>22543.528999999904</v>
      </c>
      <c r="E8">
        <v>1485045.8200000038</v>
      </c>
      <c r="F8">
        <v>392.8557042821796</v>
      </c>
      <c r="G8">
        <v>3078</v>
      </c>
    </row>
    <row r="9" spans="1:7" x14ac:dyDescent="0.35">
      <c r="A9" s="1" t="s">
        <v>16</v>
      </c>
      <c r="B9" s="1" t="s">
        <v>16</v>
      </c>
      <c r="C9">
        <v>10179776.890000001</v>
      </c>
      <c r="D9">
        <v>933738.5</v>
      </c>
      <c r="E9">
        <v>824856.17999999889</v>
      </c>
      <c r="F9">
        <v>8.3827708978328204</v>
      </c>
      <c r="G9">
        <v>666</v>
      </c>
    </row>
    <row r="10" spans="1:7" x14ac:dyDescent="0.35">
      <c r="A10" s="1" t="s">
        <v>17</v>
      </c>
      <c r="B10" s="1" t="s">
        <v>16</v>
      </c>
      <c r="C10">
        <v>9354646.6400000025</v>
      </c>
      <c r="D10">
        <v>794503.79999999958</v>
      </c>
      <c r="E10">
        <v>564536.13999999978</v>
      </c>
      <c r="F10">
        <v>10.110878489326728</v>
      </c>
      <c r="G10">
        <v>700</v>
      </c>
    </row>
    <row r="11" spans="1:7" x14ac:dyDescent="0.35">
      <c r="A11" s="1" t="s">
        <v>18</v>
      </c>
      <c r="B11" s="1" t="s">
        <v>19</v>
      </c>
      <c r="C11">
        <v>7955727.2000000002</v>
      </c>
      <c r="D11">
        <v>21635.280999999941</v>
      </c>
      <c r="E11">
        <v>64482.99000000002</v>
      </c>
      <c r="F11">
        <v>386.91828025477764</v>
      </c>
      <c r="G11">
        <v>301</v>
      </c>
    </row>
    <row r="12" spans="1:7" x14ac:dyDescent="0.35">
      <c r="A12" s="1" t="s">
        <v>20</v>
      </c>
      <c r="B12" s="1" t="s">
        <v>10</v>
      </c>
      <c r="C12">
        <v>7336657.0599999977</v>
      </c>
      <c r="D12">
        <v>17553.18</v>
      </c>
      <c r="E12">
        <v>266709.59000000026</v>
      </c>
      <c r="F12">
        <v>398.14219330943894</v>
      </c>
      <c r="G12">
        <v>1612</v>
      </c>
    </row>
    <row r="13" spans="1:7" x14ac:dyDescent="0.35">
      <c r="A13" s="1" t="s">
        <v>21</v>
      </c>
      <c r="B13" s="1" t="s">
        <v>10</v>
      </c>
      <c r="C13">
        <v>6004607</v>
      </c>
      <c r="D13">
        <v>15802.010000000004</v>
      </c>
      <c r="E13">
        <v>64369.380000000019</v>
      </c>
      <c r="F13">
        <v>406.24414634146399</v>
      </c>
      <c r="G13">
        <v>317</v>
      </c>
    </row>
    <row r="14" spans="1:7" x14ac:dyDescent="0.35">
      <c r="A14" s="1" t="s">
        <v>22</v>
      </c>
      <c r="B14" s="1" t="s">
        <v>10</v>
      </c>
      <c r="C14">
        <v>3738407.5</v>
      </c>
      <c r="D14">
        <v>7522.537000000013</v>
      </c>
      <c r="E14">
        <v>684465.09999999835</v>
      </c>
      <c r="F14">
        <v>395.20688410767752</v>
      </c>
      <c r="G14">
        <v>2875</v>
      </c>
    </row>
    <row r="15" spans="1:7" x14ac:dyDescent="0.35">
      <c r="A15" s="1" t="s">
        <v>23</v>
      </c>
      <c r="B15" s="1" t="s">
        <v>10</v>
      </c>
      <c r="C15">
        <v>3580989</v>
      </c>
      <c r="D15">
        <v>8180.5300000000034</v>
      </c>
      <c r="E15">
        <v>376307.05000000022</v>
      </c>
      <c r="F15">
        <v>388.74512024896273</v>
      </c>
      <c r="G15">
        <v>520</v>
      </c>
    </row>
    <row r="16" spans="1:7" x14ac:dyDescent="0.35">
      <c r="A16" s="1" t="s">
        <v>24</v>
      </c>
      <c r="B16" s="1" t="s">
        <v>10</v>
      </c>
      <c r="C16">
        <v>2314915.9900000002</v>
      </c>
      <c r="D16">
        <v>4584.4000000000015</v>
      </c>
      <c r="E16">
        <v>446811.28000000067</v>
      </c>
      <c r="F16">
        <v>407.73190272727248</v>
      </c>
      <c r="G16">
        <v>1109</v>
      </c>
    </row>
    <row r="17" spans="1:7" x14ac:dyDescent="0.35">
      <c r="A17" s="1" t="s">
        <v>25</v>
      </c>
      <c r="B17" s="1" t="s">
        <v>10</v>
      </c>
      <c r="C17">
        <v>738098</v>
      </c>
      <c r="D17">
        <v>1555.1100000000001</v>
      </c>
      <c r="E17">
        <v>107375.03999999989</v>
      </c>
      <c r="F17">
        <v>406.51517095541431</v>
      </c>
      <c r="G17">
        <v>231</v>
      </c>
    </row>
    <row r="18" spans="1:7" x14ac:dyDescent="0.35">
      <c r="A18" s="1" t="s">
        <v>11</v>
      </c>
      <c r="B18" s="1" t="s">
        <v>19</v>
      </c>
      <c r="C18">
        <v>583520.76999999979</v>
      </c>
      <c r="D18">
        <v>1458.5000000000005</v>
      </c>
      <c r="E18">
        <v>68624.690000000031</v>
      </c>
      <c r="F18">
        <v>355.03227201257874</v>
      </c>
      <c r="G18">
        <v>135</v>
      </c>
    </row>
    <row r="19" spans="1:7" x14ac:dyDescent="0.35">
      <c r="A19" s="1" t="s">
        <v>26</v>
      </c>
      <c r="B19" s="1" t="s">
        <v>10</v>
      </c>
      <c r="C19">
        <v>577485</v>
      </c>
      <c r="D19">
        <v>1282.9699999999996</v>
      </c>
      <c r="E19">
        <v>98181.809999999983</v>
      </c>
      <c r="F19">
        <v>372.68282904761912</v>
      </c>
      <c r="G19">
        <v>84</v>
      </c>
    </row>
    <row r="20" spans="1:7" x14ac:dyDescent="0.35">
      <c r="A20" s="1" t="s">
        <v>12</v>
      </c>
      <c r="B20" s="1" t="s">
        <v>19</v>
      </c>
      <c r="C20">
        <v>533734</v>
      </c>
      <c r="D20">
        <v>1365.7599999999998</v>
      </c>
      <c r="E20">
        <v>29480.99</v>
      </c>
      <c r="F20">
        <v>349.76317796610164</v>
      </c>
      <c r="G20">
        <v>34</v>
      </c>
    </row>
    <row r="21" spans="1:7" x14ac:dyDescent="0.35">
      <c r="A21" s="1" t="s">
        <v>27</v>
      </c>
      <c r="B21" s="1" t="s">
        <v>8</v>
      </c>
      <c r="C21">
        <v>320565</v>
      </c>
      <c r="D21">
        <v>799</v>
      </c>
      <c r="E21">
        <v>3499.08</v>
      </c>
      <c r="F21">
        <v>408.125</v>
      </c>
      <c r="G21">
        <v>16</v>
      </c>
    </row>
    <row r="22" spans="1:7" x14ac:dyDescent="0.35">
      <c r="A22" s="1" t="s">
        <v>28</v>
      </c>
      <c r="B22" s="1" t="s">
        <v>10</v>
      </c>
      <c r="C22">
        <v>294250</v>
      </c>
      <c r="D22">
        <v>635.82999999999993</v>
      </c>
      <c r="E22">
        <v>35189.839999999997</v>
      </c>
      <c r="F22">
        <v>413.59566511627901</v>
      </c>
      <c r="G22">
        <v>84</v>
      </c>
    </row>
    <row r="23" spans="1:7" x14ac:dyDescent="0.35">
      <c r="A23" s="1" t="s">
        <v>29</v>
      </c>
      <c r="B23" s="1" t="s">
        <v>10</v>
      </c>
      <c r="C23">
        <v>274290</v>
      </c>
      <c r="D23">
        <v>581.46999999999991</v>
      </c>
      <c r="E23">
        <v>35517.509999999995</v>
      </c>
      <c r="F23">
        <v>430.04763300000002</v>
      </c>
      <c r="G23">
        <v>39</v>
      </c>
    </row>
    <row r="24" spans="1:7" x14ac:dyDescent="0.35">
      <c r="A24" s="1" t="s">
        <v>30</v>
      </c>
      <c r="B24" s="1" t="s">
        <v>10</v>
      </c>
      <c r="C24">
        <v>215721.99</v>
      </c>
      <c r="D24">
        <v>406.27</v>
      </c>
      <c r="E24">
        <v>40082.01</v>
      </c>
      <c r="F24">
        <v>433.32608695652181</v>
      </c>
      <c r="G24">
        <v>21</v>
      </c>
    </row>
    <row r="25" spans="1:7" x14ac:dyDescent="0.35">
      <c r="A25" s="1" t="s">
        <v>14</v>
      </c>
      <c r="B25" s="1" t="s">
        <v>19</v>
      </c>
      <c r="C25">
        <v>178943.62</v>
      </c>
      <c r="D25">
        <v>414.77899999999988</v>
      </c>
      <c r="E25">
        <v>39852.889999999985</v>
      </c>
      <c r="F25">
        <v>333.7057592592592</v>
      </c>
      <c r="G25">
        <v>128</v>
      </c>
    </row>
    <row r="26" spans="1:7" x14ac:dyDescent="0.35">
      <c r="A26" s="1" t="s">
        <v>13</v>
      </c>
      <c r="B26" s="1" t="s">
        <v>19</v>
      </c>
      <c r="C26">
        <v>149019</v>
      </c>
      <c r="D26">
        <v>330.36000000000024</v>
      </c>
      <c r="E26">
        <v>32269.690000000017</v>
      </c>
      <c r="F26">
        <v>351.9007894736842</v>
      </c>
      <c r="G26">
        <v>127</v>
      </c>
    </row>
    <row r="27" spans="1:7" x14ac:dyDescent="0.35">
      <c r="A27" s="1" t="s">
        <v>31</v>
      </c>
      <c r="B27" s="1" t="s">
        <v>10</v>
      </c>
      <c r="C27">
        <v>147451</v>
      </c>
      <c r="D27">
        <v>331.79999999999995</v>
      </c>
      <c r="E27">
        <v>13837.57</v>
      </c>
      <c r="F27">
        <v>408.26903589743591</v>
      </c>
      <c r="G27">
        <v>39</v>
      </c>
    </row>
    <row r="28" spans="1:7" x14ac:dyDescent="0.35">
      <c r="A28" s="1" t="s">
        <v>15</v>
      </c>
      <c r="B28" s="1" t="s">
        <v>19</v>
      </c>
      <c r="C28">
        <v>128229.1</v>
      </c>
      <c r="D28">
        <v>294.53000000000026</v>
      </c>
      <c r="E28">
        <v>21095.089999999989</v>
      </c>
      <c r="F28">
        <v>364.26781716417912</v>
      </c>
      <c r="G28">
        <v>65</v>
      </c>
    </row>
    <row r="29" spans="1:7" x14ac:dyDescent="0.35">
      <c r="A29" s="1" t="s">
        <v>22</v>
      </c>
      <c r="B29" s="1" t="s">
        <v>19</v>
      </c>
      <c r="C29">
        <v>90733</v>
      </c>
      <c r="D29">
        <v>203.24000000000004</v>
      </c>
      <c r="E29">
        <v>19681.520000000004</v>
      </c>
      <c r="F29">
        <v>350.43582770270268</v>
      </c>
      <c r="G29">
        <v>70</v>
      </c>
    </row>
    <row r="30" spans="1:7" x14ac:dyDescent="0.35">
      <c r="A30" s="1" t="s">
        <v>24</v>
      </c>
      <c r="B30" s="1" t="s">
        <v>19</v>
      </c>
      <c r="C30">
        <v>81403</v>
      </c>
      <c r="D30">
        <v>181.51000000000002</v>
      </c>
      <c r="E30">
        <v>20318.090000000004</v>
      </c>
      <c r="F30">
        <v>339.20428571428556</v>
      </c>
      <c r="G30">
        <v>79</v>
      </c>
    </row>
    <row r="31" spans="1:7" x14ac:dyDescent="0.35">
      <c r="A31" s="1" t="s">
        <v>32</v>
      </c>
      <c r="B31" s="1" t="s">
        <v>10</v>
      </c>
      <c r="C31">
        <v>66235</v>
      </c>
      <c r="D31">
        <v>147.83000000000004</v>
      </c>
      <c r="E31">
        <v>9471.9599999999973</v>
      </c>
      <c r="F31">
        <v>386.27904761904767</v>
      </c>
      <c r="G31">
        <v>21</v>
      </c>
    </row>
    <row r="32" spans="1:7" x14ac:dyDescent="0.35">
      <c r="A32" s="1" t="s">
        <v>33</v>
      </c>
      <c r="B32" s="1" t="s">
        <v>10</v>
      </c>
      <c r="C32">
        <v>26830</v>
      </c>
      <c r="D32">
        <v>48.429999999999993</v>
      </c>
      <c r="E32">
        <v>8005.32</v>
      </c>
      <c r="F32">
        <v>385.11364761904764</v>
      </c>
      <c r="G32">
        <v>41</v>
      </c>
    </row>
    <row r="33" spans="1:7" x14ac:dyDescent="0.35">
      <c r="A33" s="1" t="s">
        <v>15</v>
      </c>
      <c r="B33" s="1" t="s">
        <v>34</v>
      </c>
      <c r="C33">
        <v>20951.349999999995</v>
      </c>
      <c r="D33">
        <v>27.600000000000122</v>
      </c>
      <c r="E33">
        <v>12040.929999999998</v>
      </c>
      <c r="F33">
        <v>308.55133152173914</v>
      </c>
      <c r="G33">
        <v>214</v>
      </c>
    </row>
    <row r="34" spans="1:7" x14ac:dyDescent="0.35">
      <c r="A34" s="1" t="s">
        <v>14</v>
      </c>
      <c r="B34" s="1" t="s">
        <v>34</v>
      </c>
      <c r="C34">
        <v>14491.96</v>
      </c>
      <c r="D34">
        <v>27.549999999999997</v>
      </c>
      <c r="E34">
        <v>5115.74</v>
      </c>
      <c r="F34">
        <v>339.16223214285714</v>
      </c>
      <c r="G34">
        <v>28</v>
      </c>
    </row>
    <row r="35" spans="1:7" x14ac:dyDescent="0.35">
      <c r="A35" s="1" t="s">
        <v>29</v>
      </c>
      <c r="B35" s="1" t="s">
        <v>19</v>
      </c>
      <c r="C35">
        <v>10305</v>
      </c>
      <c r="D35">
        <v>23.799999999999997</v>
      </c>
      <c r="E35">
        <v>2175.46</v>
      </c>
      <c r="F35">
        <v>343.26321428571424</v>
      </c>
      <c r="G35">
        <v>7</v>
      </c>
    </row>
    <row r="36" spans="1:7" x14ac:dyDescent="0.35">
      <c r="A36" s="1" t="s">
        <v>9</v>
      </c>
      <c r="B36" s="1" t="s">
        <v>19</v>
      </c>
      <c r="C36">
        <v>10030</v>
      </c>
      <c r="D36">
        <v>20.63</v>
      </c>
      <c r="E36">
        <v>2347.04</v>
      </c>
      <c r="F36">
        <v>368.29270833333339</v>
      </c>
      <c r="G36">
        <v>12</v>
      </c>
    </row>
    <row r="37" spans="1:7" x14ac:dyDescent="0.35">
      <c r="A37" s="1" t="s">
        <v>35</v>
      </c>
      <c r="B37" s="1" t="s">
        <v>16</v>
      </c>
      <c r="C37">
        <v>9832.49</v>
      </c>
      <c r="D37">
        <v>767.70000000000016</v>
      </c>
      <c r="E37">
        <v>4884.1799999999994</v>
      </c>
      <c r="F37">
        <v>6.5500000000000007</v>
      </c>
      <c r="G37">
        <v>12</v>
      </c>
    </row>
    <row r="38" spans="1:7" x14ac:dyDescent="0.35">
      <c r="A38" s="1" t="s">
        <v>22</v>
      </c>
      <c r="B38" s="1" t="s">
        <v>34</v>
      </c>
      <c r="C38">
        <v>9140</v>
      </c>
      <c r="D38">
        <v>16.86</v>
      </c>
      <c r="E38">
        <v>3803.0699999999997</v>
      </c>
      <c r="F38">
        <v>302.26972222222219</v>
      </c>
      <c r="G38">
        <v>18</v>
      </c>
    </row>
    <row r="39" spans="1:7" x14ac:dyDescent="0.35">
      <c r="A39" s="1" t="s">
        <v>36</v>
      </c>
      <c r="B39" s="1" t="s">
        <v>10</v>
      </c>
      <c r="C39">
        <v>8405</v>
      </c>
      <c r="D39">
        <v>9.7999999999999989</v>
      </c>
      <c r="E39">
        <v>3718.4999999999995</v>
      </c>
      <c r="F39">
        <v>478.10315789473691</v>
      </c>
      <c r="G39">
        <v>17</v>
      </c>
    </row>
    <row r="40" spans="1:7" x14ac:dyDescent="0.35">
      <c r="A40" s="1" t="s">
        <v>20</v>
      </c>
      <c r="B40" s="1" t="s">
        <v>19</v>
      </c>
      <c r="C40">
        <v>7905.18</v>
      </c>
      <c r="D40">
        <v>20.170000000000002</v>
      </c>
      <c r="E40">
        <v>1085.3699999999999</v>
      </c>
      <c r="F40">
        <v>341.92500000000001</v>
      </c>
      <c r="G40">
        <v>4</v>
      </c>
    </row>
    <row r="41" spans="1:7" x14ac:dyDescent="0.35">
      <c r="A41" s="1" t="s">
        <v>9</v>
      </c>
      <c r="B41" s="1" t="s">
        <v>34</v>
      </c>
      <c r="C41">
        <v>6290</v>
      </c>
      <c r="D41">
        <v>11.830000000000002</v>
      </c>
      <c r="E41">
        <v>2488.5099999999998</v>
      </c>
      <c r="F41">
        <v>319.30211538461538</v>
      </c>
      <c r="G41">
        <v>13</v>
      </c>
    </row>
    <row r="42" spans="1:7" x14ac:dyDescent="0.35">
      <c r="A42" s="1" t="s">
        <v>24</v>
      </c>
      <c r="B42" s="1" t="s">
        <v>34</v>
      </c>
      <c r="C42">
        <v>5775</v>
      </c>
      <c r="D42">
        <v>13.85</v>
      </c>
      <c r="E42">
        <v>1458.4699999999998</v>
      </c>
      <c r="F42">
        <v>319.20666666666665</v>
      </c>
      <c r="G42">
        <v>3</v>
      </c>
    </row>
    <row r="43" spans="1:7" x14ac:dyDescent="0.35">
      <c r="A43" s="1" t="s">
        <v>23</v>
      </c>
      <c r="B43" s="1" t="s">
        <v>19</v>
      </c>
      <c r="C43">
        <v>5675</v>
      </c>
      <c r="D43">
        <v>16.5</v>
      </c>
      <c r="E43">
        <v>20.95</v>
      </c>
      <c r="F43">
        <v>342.67</v>
      </c>
      <c r="G43">
        <v>1</v>
      </c>
    </row>
    <row r="44" spans="1:7" x14ac:dyDescent="0.35">
      <c r="A44" s="1" t="s">
        <v>13</v>
      </c>
      <c r="B44" s="1" t="s">
        <v>34</v>
      </c>
      <c r="C44">
        <v>4290</v>
      </c>
      <c r="D44">
        <v>9.379999999999999</v>
      </c>
      <c r="E44">
        <v>1448.92</v>
      </c>
      <c r="F44">
        <v>300.26333333333332</v>
      </c>
      <c r="G44">
        <v>6</v>
      </c>
    </row>
    <row r="45" spans="1:7" x14ac:dyDescent="0.35">
      <c r="A45" s="1" t="s">
        <v>11</v>
      </c>
      <c r="B45" s="1" t="s">
        <v>34</v>
      </c>
      <c r="C45">
        <v>3050</v>
      </c>
      <c r="D45">
        <v>9</v>
      </c>
      <c r="E45">
        <v>367.37</v>
      </c>
      <c r="F45">
        <v>298.07</v>
      </c>
      <c r="G45">
        <v>1</v>
      </c>
    </row>
    <row r="46" spans="1:7" x14ac:dyDescent="0.35">
      <c r="A46" s="1" t="s">
        <v>12</v>
      </c>
      <c r="B46" s="1" t="s">
        <v>34</v>
      </c>
      <c r="C46">
        <v>2450</v>
      </c>
      <c r="D46">
        <v>8.9</v>
      </c>
      <c r="E46">
        <v>212.13</v>
      </c>
      <c r="F46">
        <v>251.44499999999999</v>
      </c>
      <c r="G46">
        <v>1</v>
      </c>
    </row>
    <row r="47" spans="1:7" x14ac:dyDescent="0.35">
      <c r="A47" s="1" t="s">
        <v>25</v>
      </c>
      <c r="B47" s="1" t="s">
        <v>19</v>
      </c>
      <c r="C47">
        <v>1250</v>
      </c>
      <c r="D47">
        <v>3</v>
      </c>
      <c r="E47">
        <v>317.48</v>
      </c>
      <c r="F47">
        <v>310.83999999999997</v>
      </c>
      <c r="G47">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86A3-A887-4DBD-B294-DA841F994842}">
  <dimension ref="A1"/>
  <sheetViews>
    <sheetView tabSelected="1" topLeftCell="A2"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43FD-2D81-4AAF-841F-1C8D19B5830B}">
  <dimension ref="A3:F10"/>
  <sheetViews>
    <sheetView workbookViewId="0">
      <selection activeCell="F11" sqref="F11"/>
    </sheetView>
  </sheetViews>
  <sheetFormatPr defaultRowHeight="14.5" x14ac:dyDescent="0.35"/>
  <cols>
    <col min="1" max="1" width="12.36328125" bestFit="1" customWidth="1"/>
    <col min="2" max="2" width="17.36328125" bestFit="1" customWidth="1"/>
    <col min="6" max="6" width="18.1796875" customWidth="1"/>
    <col min="8" max="8" width="11.81640625" bestFit="1" customWidth="1"/>
  </cols>
  <sheetData>
    <row r="3" spans="1:6" x14ac:dyDescent="0.35">
      <c r="A3" s="2" t="s">
        <v>37</v>
      </c>
      <c r="B3" t="s">
        <v>42</v>
      </c>
      <c r="F3">
        <f>GETPIVOTDATA("Sum of revenue",'Product Pivot.'!$A$3,"karat_name","18")</f>
        <v>66438.31</v>
      </c>
    </row>
    <row r="4" spans="1:6" x14ac:dyDescent="0.35">
      <c r="A4" s="3" t="s">
        <v>34</v>
      </c>
      <c r="B4" s="1">
        <v>124.97000000000011</v>
      </c>
      <c r="F4">
        <f>GETPIVOTDATA("Sum of weight_sold",'Product Pivot.'!$A$3,"karat_name","18")</f>
        <v>124.97000000000011</v>
      </c>
    </row>
    <row r="5" spans="1:6" x14ac:dyDescent="0.35">
      <c r="A5" s="3" t="s">
        <v>19</v>
      </c>
      <c r="B5" s="1">
        <v>25968.059999999936</v>
      </c>
      <c r="F5">
        <f>GETPIVOTDATA("Sum of making_revenue",'Product Pivot.'!$A$3,"karat_name","18")</f>
        <v>26935.14</v>
      </c>
    </row>
    <row r="6" spans="1:6" x14ac:dyDescent="0.35">
      <c r="A6" s="3" t="s">
        <v>10</v>
      </c>
      <c r="B6" s="1">
        <v>472716.99799999967</v>
      </c>
      <c r="F6">
        <f>GETPIVOTDATA("Sum of transaction_count",'Product Pivot.'!$A$3,"karat_name","18")</f>
        <v>284</v>
      </c>
    </row>
    <row r="7" spans="1:6" x14ac:dyDescent="0.35">
      <c r="A7" s="3" t="s">
        <v>8</v>
      </c>
      <c r="B7" s="1">
        <v>224053.59200000524</v>
      </c>
      <c r="F7">
        <f>GETPIVOTDATA("Sum of revenue",'Product Pivot.'!$A$3)</f>
        <v>342765928.54999983</v>
      </c>
    </row>
    <row r="8" spans="1:6" x14ac:dyDescent="0.35">
      <c r="A8" s="3" t="s">
        <v>16</v>
      </c>
      <c r="B8" s="1">
        <v>1729009.9999999995</v>
      </c>
      <c r="F8">
        <f>GETPIVOTDATA("Sum of weight_sold",'Product Pivot.'!$A$3)</f>
        <v>2451873.6200000043</v>
      </c>
    </row>
    <row r="9" spans="1:6" x14ac:dyDescent="0.35">
      <c r="A9" s="3" t="s">
        <v>38</v>
      </c>
      <c r="B9" s="1">
        <v>2451873.6200000043</v>
      </c>
      <c r="F9">
        <f>GETPIVOTDATA("Sum of making_revenue",'Product Pivot.'!$A$3)</f>
        <v>29900262.190000072</v>
      </c>
    </row>
    <row r="10" spans="1:6" x14ac:dyDescent="0.35">
      <c r="F10">
        <f>GETPIVOTDATA("Sum of transaction_count",'Product Pivot.'!$A$3)</f>
        <v>68463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94B047-CDA3-4F3C-8271-5513D43D72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Pivot.</vt:lpstr>
      <vt:lpstr>Product_Analysis_Data</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SHAHEER K A</dc:creator>
  <cp:lastModifiedBy>SHAHEER K A</cp:lastModifiedBy>
  <dcterms:created xsi:type="dcterms:W3CDTF">2026-08-04T01:46:37Z</dcterms:created>
  <dcterms:modified xsi:type="dcterms:W3CDTF">2026-08-22T14:57:21Z</dcterms:modified>
</cp:coreProperties>
</file>