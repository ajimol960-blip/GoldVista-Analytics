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my_projects\goldvista\gold_vista\"/>
    </mc:Choice>
  </mc:AlternateContent>
  <xr:revisionPtr revIDLastSave="0" documentId="13_ncr:1_{FDF40078-BE9C-40E3-884B-8B5035400C2B}" xr6:coauthVersionLast="47" xr6:coauthVersionMax="47" xr10:uidLastSave="{00000000-0000-0000-0000-000000000000}"/>
  <bookViews>
    <workbookView xWindow="-110" yWindow="-110" windowWidth="19420" windowHeight="10300" firstSheet="2" activeTab="4" xr2:uid="{00000000-000D-0000-FFFF-FFFF00000000}"/>
  </bookViews>
  <sheets>
    <sheet name="Sheet5" sheetId="6" r:id="rId1"/>
    <sheet name="Branch_Revenue_Data" sheetId="2" r:id="rId2"/>
    <sheet name="Branch Pivot" sheetId="3" r:id="rId3"/>
    <sheet name="Revenue by Branch Chart" sheetId="1" r:id="rId4"/>
    <sheet name="Dashboard" sheetId="7" r:id="rId5"/>
    <sheet name="Monthly Revenue Trend" sheetId="4" r:id="rId6"/>
    <sheet name="Sheet4" sheetId="5" r:id="rId7"/>
  </sheets>
  <definedNames>
    <definedName name="ExternalData_1" localSheetId="1" hidden="1">Branch_Revenue_Data!$A$1:$G$189</definedName>
    <definedName name="Slicer_branch_name">#N/A</definedName>
    <definedName name="Slicer_month_name">#N/A</definedName>
    <definedName name="Slicer_sale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E00D2F-A30C-4FB9-BE8E-EF0BF791A423}" keepAlive="1" name="Query - Branch_Revenue_Data" description="Connection to the 'Branch_Revenue_Data' query in the workbook." type="5" refreshedVersion="7" background="1" saveData="1">
    <dbPr connection="Provider=Microsoft.Mashup.OleDb.1;Data Source=$Workbook$;Location=Branch_Revenue_Data;Extended Properties=&quot;&quot;" command="SELECT * FROM [Branch_Revenue_Data]"/>
  </connection>
</connections>
</file>

<file path=xl/sharedStrings.xml><?xml version="1.0" encoding="utf-8"?>
<sst xmlns="http://schemas.openxmlformats.org/spreadsheetml/2006/main" count="320" uniqueCount="53">
  <si>
    <t>branch_name</t>
  </si>
  <si>
    <t>sale_year</t>
  </si>
  <si>
    <t>sale_month</t>
  </si>
  <si>
    <t>revenue</t>
  </si>
  <si>
    <t>weight_sold</t>
  </si>
  <si>
    <t>transaction_count</t>
  </si>
  <si>
    <t>avg_transaction_value</t>
  </si>
  <si>
    <t>Branch 01</t>
  </si>
  <si>
    <t>Branch 02</t>
  </si>
  <si>
    <t>Branch 03</t>
  </si>
  <si>
    <t>Branch 04</t>
  </si>
  <si>
    <t>Branch 05</t>
  </si>
  <si>
    <t>Branch 06</t>
  </si>
  <si>
    <t>Branch 07</t>
  </si>
  <si>
    <t>Branch 08</t>
  </si>
  <si>
    <t>Branch 09</t>
  </si>
  <si>
    <t>Branch 10</t>
  </si>
  <si>
    <t>Branch 12</t>
  </si>
  <si>
    <t>Branch 13</t>
  </si>
  <si>
    <t>Branch 15</t>
  </si>
  <si>
    <t>Branch 16</t>
  </si>
  <si>
    <t>Branch 17</t>
  </si>
  <si>
    <t>Branch 18</t>
  </si>
  <si>
    <t>Branch 19</t>
  </si>
  <si>
    <t>Branch 20</t>
  </si>
  <si>
    <t>Row Labels</t>
  </si>
  <si>
    <t>Grand Total</t>
  </si>
  <si>
    <t>Column Labels</t>
  </si>
  <si>
    <t>Sum of revenue</t>
  </si>
  <si>
    <t>Values</t>
  </si>
  <si>
    <t>Total Revenue (SAR)</t>
  </si>
  <si>
    <t>Revenue (SAR)</t>
  </si>
  <si>
    <t>Total Weight Sold (g)</t>
  </si>
  <si>
    <t>Weight Sold (g)</t>
  </si>
  <si>
    <t>Total Transactions</t>
  </si>
  <si>
    <t>Transactions</t>
  </si>
  <si>
    <t>Total Avg Transaction Value</t>
  </si>
  <si>
    <t>Avg Transaction Value</t>
  </si>
  <si>
    <t>month_name</t>
  </si>
  <si>
    <t>January</t>
  </si>
  <si>
    <t>February</t>
  </si>
  <si>
    <t>March</t>
  </si>
  <si>
    <t>April</t>
  </si>
  <si>
    <t>May</t>
  </si>
  <si>
    <t>June</t>
  </si>
  <si>
    <t>July</t>
  </si>
  <si>
    <t>August</t>
  </si>
  <si>
    <t>September</t>
  </si>
  <si>
    <t>October</t>
  </si>
  <si>
    <t>November</t>
  </si>
  <si>
    <t>December</t>
  </si>
  <si>
    <t>Trend</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</si>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</sst>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1]\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cellXfs>
  <cellStyles count="1">
    <cellStyle name="Normal" xfId="0" builtinId="0"/>
  </cellStyles>
  <dxfs count="5">
    <dxf>
      <numFmt numFmtId="164" formatCode="[$⃁-401]\ #,##0.00"/>
    </dxf>
    <dxf>
      <numFmt numFmtId="2" formatCode="0.00"/>
    </dxf>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1 - Branch Revenue.xlsx]Branch Pivot!PivotTable1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Branch</a:t>
            </a:r>
          </a:p>
        </c:rich>
      </c:tx>
      <c:layout>
        <c:manualLayout>
          <c:xMode val="edge"/>
          <c:yMode val="edge"/>
          <c:x val="0.27315966754155729"/>
          <c:y val="0.11934966462525518"/>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'Branch Pivot'!$B$3:$B$6</c:f>
              <c:strCache>
                <c:ptCount val="1"/>
                <c:pt idx="0">
                  <c:v>January - 2025 - Revenue (SAR)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Pivot'!$B$7:$B$17</c:f>
              <c:numCache>
                <c:formatCode>[$⃁-401]\ #,##0.00</c:formatCode>
                <c:ptCount val="10"/>
                <c:pt idx="0">
                  <c:v>865905</c:v>
                </c:pt>
                <c:pt idx="1">
                  <c:v>1380095</c:v>
                </c:pt>
                <c:pt idx="2">
                  <c:v>868550</c:v>
                </c:pt>
                <c:pt idx="3">
                  <c:v>1132935</c:v>
                </c:pt>
                <c:pt idx="4">
                  <c:v>688190</c:v>
                </c:pt>
                <c:pt idx="5">
                  <c:v>781876</c:v>
                </c:pt>
                <c:pt idx="6">
                  <c:v>1268704</c:v>
                </c:pt>
                <c:pt idx="7">
                  <c:v>849980</c:v>
                </c:pt>
                <c:pt idx="8">
                  <c:v>969242</c:v>
                </c:pt>
                <c:pt idx="9">
                  <c:v>4010306</c:v>
                </c:pt>
              </c:numCache>
            </c:numRef>
          </c:val>
          <c:extLst>
            <c:ext xmlns:c16="http://schemas.microsoft.com/office/drawing/2014/chart" uri="{C3380CC4-5D6E-409C-BE32-E72D297353CC}">
              <c16:uniqueId val="{00000000-17B6-4B7C-878A-43051EE014FC}"/>
            </c:ext>
          </c:extLst>
        </c:ser>
        <c:ser>
          <c:idx val="1"/>
          <c:order val="1"/>
          <c:tx>
            <c:strRef>
              <c:f>'Branch Pivot'!$C$3:$C$6</c:f>
              <c:strCache>
                <c:ptCount val="1"/>
                <c:pt idx="0">
                  <c:v>January - 2025 - Weight Sold (g)</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Pivot'!$C$7:$C$17</c:f>
              <c:numCache>
                <c:formatCode>0.00</c:formatCode>
                <c:ptCount val="10"/>
                <c:pt idx="0">
                  <c:v>1648.1399999999992</c:v>
                </c:pt>
                <c:pt idx="1">
                  <c:v>3267.8300000000013</c:v>
                </c:pt>
                <c:pt idx="2">
                  <c:v>3971.9</c:v>
                </c:pt>
                <c:pt idx="3">
                  <c:v>1711.2999999999995</c:v>
                </c:pt>
                <c:pt idx="4">
                  <c:v>1601.0299999999995</c:v>
                </c:pt>
                <c:pt idx="5">
                  <c:v>1806.8889999999985</c:v>
                </c:pt>
                <c:pt idx="6">
                  <c:v>2817.159000000001</c:v>
                </c:pt>
                <c:pt idx="7">
                  <c:v>1832.4290000000005</c:v>
                </c:pt>
                <c:pt idx="8">
                  <c:v>2455.838999999999</c:v>
                </c:pt>
                <c:pt idx="9">
                  <c:v>10750.130000000008</c:v>
                </c:pt>
              </c:numCache>
            </c:numRef>
          </c:val>
          <c:extLst>
            <c:ext xmlns:c16="http://schemas.microsoft.com/office/drawing/2014/chart" uri="{C3380CC4-5D6E-409C-BE32-E72D297353CC}">
              <c16:uniqueId val="{00000001-17B6-4B7C-878A-43051EE014FC}"/>
            </c:ext>
          </c:extLst>
        </c:ser>
        <c:ser>
          <c:idx val="2"/>
          <c:order val="2"/>
          <c:tx>
            <c:strRef>
              <c:f>'Branch Pivot'!$D$3:$D$6</c:f>
              <c:strCache>
                <c:ptCount val="1"/>
                <c:pt idx="0">
                  <c:v>January - 2025 - Transactions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Pivot'!$D$7:$D$17</c:f>
              <c:numCache>
                <c:formatCode>General</c:formatCode>
                <c:ptCount val="10"/>
                <c:pt idx="0">
                  <c:v>228</c:v>
                </c:pt>
                <c:pt idx="1">
                  <c:v>316</c:v>
                </c:pt>
                <c:pt idx="2">
                  <c:v>190</c:v>
                </c:pt>
                <c:pt idx="3">
                  <c:v>232</c:v>
                </c:pt>
                <c:pt idx="4">
                  <c:v>142</c:v>
                </c:pt>
                <c:pt idx="5">
                  <c:v>278</c:v>
                </c:pt>
                <c:pt idx="6">
                  <c:v>254</c:v>
                </c:pt>
                <c:pt idx="7">
                  <c:v>137</c:v>
                </c:pt>
                <c:pt idx="8">
                  <c:v>176</c:v>
                </c:pt>
                <c:pt idx="9">
                  <c:v>744</c:v>
                </c:pt>
              </c:numCache>
            </c:numRef>
          </c:val>
          <c:extLst>
            <c:ext xmlns:c16="http://schemas.microsoft.com/office/drawing/2014/chart" uri="{C3380CC4-5D6E-409C-BE32-E72D297353CC}">
              <c16:uniqueId val="{00000002-17B6-4B7C-878A-43051EE014FC}"/>
            </c:ext>
          </c:extLst>
        </c:ser>
        <c:ser>
          <c:idx val="3"/>
          <c:order val="3"/>
          <c:tx>
            <c:strRef>
              <c:f>'Branch Pivot'!$E$3:$E$6</c:f>
              <c:strCache>
                <c:ptCount val="1"/>
                <c:pt idx="0">
                  <c:v>January - 2025 - Avg Transaction Value</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Pivot'!$E$7:$E$17</c:f>
              <c:numCache>
                <c:formatCode>0.00</c:formatCode>
                <c:ptCount val="10"/>
                <c:pt idx="0">
                  <c:v>3797.83</c:v>
                </c:pt>
                <c:pt idx="1">
                  <c:v>4367.3900000000003</c:v>
                </c:pt>
                <c:pt idx="2">
                  <c:v>4571.32</c:v>
                </c:pt>
                <c:pt idx="3">
                  <c:v>4883.34</c:v>
                </c:pt>
                <c:pt idx="4">
                  <c:v>4846.41</c:v>
                </c:pt>
                <c:pt idx="5">
                  <c:v>2812.5</c:v>
                </c:pt>
                <c:pt idx="6">
                  <c:v>4994.8999999999996</c:v>
                </c:pt>
                <c:pt idx="7">
                  <c:v>6204.23</c:v>
                </c:pt>
                <c:pt idx="8">
                  <c:v>5507.06</c:v>
                </c:pt>
                <c:pt idx="9">
                  <c:v>10778.15</c:v>
                </c:pt>
              </c:numCache>
            </c:numRef>
          </c:val>
          <c:extLst>
            <c:ext xmlns:c16="http://schemas.microsoft.com/office/drawing/2014/chart" uri="{C3380CC4-5D6E-409C-BE32-E72D297353CC}">
              <c16:uniqueId val="{00000003-17B6-4B7C-878A-43051EE014FC}"/>
            </c:ext>
          </c:extLst>
        </c:ser>
        <c:ser>
          <c:idx val="4"/>
          <c:order val="4"/>
          <c:tx>
            <c:strRef>
              <c:f>'Branch Pivot'!$F$3:$F$6</c:f>
              <c:strCache>
                <c:ptCount val="1"/>
                <c:pt idx="0">
                  <c:v>January - 2026 - Revenue (SAR)</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Pivot'!$F$7:$F$17</c:f>
              <c:numCache>
                <c:formatCode>[$⃁-401]\ #,##0.00</c:formatCode>
                <c:ptCount val="10"/>
                <c:pt idx="0">
                  <c:v>2633056</c:v>
                </c:pt>
                <c:pt idx="1">
                  <c:v>5069155</c:v>
                </c:pt>
                <c:pt idx="2">
                  <c:v>3014445</c:v>
                </c:pt>
                <c:pt idx="3">
                  <c:v>2738365</c:v>
                </c:pt>
                <c:pt idx="4">
                  <c:v>1976235</c:v>
                </c:pt>
                <c:pt idx="5">
                  <c:v>3200407</c:v>
                </c:pt>
                <c:pt idx="6">
                  <c:v>3558552</c:v>
                </c:pt>
                <c:pt idx="7">
                  <c:v>4230144.99</c:v>
                </c:pt>
                <c:pt idx="8">
                  <c:v>1104222.94</c:v>
                </c:pt>
                <c:pt idx="9">
                  <c:v>3513045</c:v>
                </c:pt>
              </c:numCache>
            </c:numRef>
          </c:val>
          <c:extLst>
            <c:ext xmlns:c16="http://schemas.microsoft.com/office/drawing/2014/chart" uri="{C3380CC4-5D6E-409C-BE32-E72D297353CC}">
              <c16:uniqueId val="{00000094-1481-4534-8058-A5BFE6A58FE5}"/>
            </c:ext>
          </c:extLst>
        </c:ser>
        <c:ser>
          <c:idx val="5"/>
          <c:order val="5"/>
          <c:tx>
            <c:strRef>
              <c:f>'Branch Pivot'!$G$3:$G$6</c:f>
              <c:strCache>
                <c:ptCount val="1"/>
                <c:pt idx="0">
                  <c:v>January - 2026 - Weight Sold (g)</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Pivot'!$G$7:$G$17</c:f>
              <c:numCache>
                <c:formatCode>0.00</c:formatCode>
                <c:ptCount val="10"/>
                <c:pt idx="0">
                  <c:v>32723.189999999981</c:v>
                </c:pt>
                <c:pt idx="1">
                  <c:v>69860.170000000013</c:v>
                </c:pt>
                <c:pt idx="2">
                  <c:v>20963.949999999993</c:v>
                </c:pt>
                <c:pt idx="3">
                  <c:v>43601.879999999954</c:v>
                </c:pt>
                <c:pt idx="4">
                  <c:v>29940.689999999991</c:v>
                </c:pt>
                <c:pt idx="5">
                  <c:v>28898.330000000016</c:v>
                </c:pt>
                <c:pt idx="6">
                  <c:v>50796.009999999966</c:v>
                </c:pt>
                <c:pt idx="7">
                  <c:v>139522.29000000004</c:v>
                </c:pt>
                <c:pt idx="8">
                  <c:v>34874.559999999998</c:v>
                </c:pt>
                <c:pt idx="9">
                  <c:v>61897.69000000001</c:v>
                </c:pt>
              </c:numCache>
            </c:numRef>
          </c:val>
          <c:extLst>
            <c:ext xmlns:c16="http://schemas.microsoft.com/office/drawing/2014/chart" uri="{C3380CC4-5D6E-409C-BE32-E72D297353CC}">
              <c16:uniqueId val="{00000095-1481-4534-8058-A5BFE6A58FE5}"/>
            </c:ext>
          </c:extLst>
        </c:ser>
        <c:ser>
          <c:idx val="6"/>
          <c:order val="6"/>
          <c:tx>
            <c:strRef>
              <c:f>'Branch Pivot'!$H$3:$H$6</c:f>
              <c:strCache>
                <c:ptCount val="1"/>
                <c:pt idx="0">
                  <c:v>January - 2026 - Transactions</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Pivot'!$H$7:$H$17</c:f>
              <c:numCache>
                <c:formatCode>General</c:formatCode>
                <c:ptCount val="10"/>
                <c:pt idx="0">
                  <c:v>370</c:v>
                </c:pt>
                <c:pt idx="1">
                  <c:v>513</c:v>
                </c:pt>
                <c:pt idx="2">
                  <c:v>444</c:v>
                </c:pt>
                <c:pt idx="3">
                  <c:v>402</c:v>
                </c:pt>
                <c:pt idx="4">
                  <c:v>278</c:v>
                </c:pt>
                <c:pt idx="5">
                  <c:v>646</c:v>
                </c:pt>
                <c:pt idx="6">
                  <c:v>472</c:v>
                </c:pt>
                <c:pt idx="7">
                  <c:v>486</c:v>
                </c:pt>
                <c:pt idx="8">
                  <c:v>153</c:v>
                </c:pt>
                <c:pt idx="9">
                  <c:v>471</c:v>
                </c:pt>
              </c:numCache>
            </c:numRef>
          </c:val>
          <c:extLst>
            <c:ext xmlns:c16="http://schemas.microsoft.com/office/drawing/2014/chart" uri="{C3380CC4-5D6E-409C-BE32-E72D297353CC}">
              <c16:uniqueId val="{00000096-1481-4534-8058-A5BFE6A58FE5}"/>
            </c:ext>
          </c:extLst>
        </c:ser>
        <c:ser>
          <c:idx val="7"/>
          <c:order val="7"/>
          <c:tx>
            <c:strRef>
              <c:f>'Branch Pivot'!$I$3:$I$6</c:f>
              <c:strCache>
                <c:ptCount val="1"/>
                <c:pt idx="0">
                  <c:v>January - 2026 - Avg Transaction Value</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Pivot'!$I$7:$I$17</c:f>
              <c:numCache>
                <c:formatCode>0.00</c:formatCode>
                <c:ptCount val="10"/>
                <c:pt idx="0">
                  <c:v>7116.37</c:v>
                </c:pt>
                <c:pt idx="1">
                  <c:v>9881.39</c:v>
                </c:pt>
                <c:pt idx="2">
                  <c:v>6789.29</c:v>
                </c:pt>
                <c:pt idx="3">
                  <c:v>6811.85</c:v>
                </c:pt>
                <c:pt idx="4">
                  <c:v>7108.76</c:v>
                </c:pt>
                <c:pt idx="5">
                  <c:v>4954.1899999999996</c:v>
                </c:pt>
                <c:pt idx="6">
                  <c:v>7539.31</c:v>
                </c:pt>
                <c:pt idx="7">
                  <c:v>8704</c:v>
                </c:pt>
                <c:pt idx="8">
                  <c:v>7217.14</c:v>
                </c:pt>
                <c:pt idx="9">
                  <c:v>7458.69</c:v>
                </c:pt>
              </c:numCache>
            </c:numRef>
          </c:val>
          <c:extLst>
            <c:ext xmlns:c16="http://schemas.microsoft.com/office/drawing/2014/chart" uri="{C3380CC4-5D6E-409C-BE32-E72D297353CC}">
              <c16:uniqueId val="{00000097-1481-4534-8058-A5BFE6A58FE5}"/>
            </c:ext>
          </c:extLst>
        </c:ser>
        <c:ser>
          <c:idx val="8"/>
          <c:order val="8"/>
          <c:tx>
            <c:strRef>
              <c:f>'Branch Pivot'!$J$3:$J$6</c:f>
              <c:strCache>
                <c:ptCount val="1"/>
                <c:pt idx="0">
                  <c:v>February - 2025 - Revenue (SAR)</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Pivot'!$J$7:$J$17</c:f>
              <c:numCache>
                <c:formatCode>[$⃁-401]\ #,##0.00</c:formatCode>
                <c:ptCount val="10"/>
                <c:pt idx="0">
                  <c:v>1508399</c:v>
                </c:pt>
                <c:pt idx="1">
                  <c:v>2341870</c:v>
                </c:pt>
                <c:pt idx="2">
                  <c:v>1905223</c:v>
                </c:pt>
                <c:pt idx="3">
                  <c:v>1557542</c:v>
                </c:pt>
                <c:pt idx="4">
                  <c:v>1294391</c:v>
                </c:pt>
                <c:pt idx="5">
                  <c:v>1704837</c:v>
                </c:pt>
                <c:pt idx="6">
                  <c:v>1257855</c:v>
                </c:pt>
                <c:pt idx="7">
                  <c:v>1301285</c:v>
                </c:pt>
                <c:pt idx="8">
                  <c:v>2962986</c:v>
                </c:pt>
                <c:pt idx="9">
                  <c:v>2159513.7000000002</c:v>
                </c:pt>
              </c:numCache>
            </c:numRef>
          </c:val>
          <c:extLst>
            <c:ext xmlns:c16="http://schemas.microsoft.com/office/drawing/2014/chart" uri="{C3380CC4-5D6E-409C-BE32-E72D297353CC}">
              <c16:uniqueId val="{00000098-1481-4534-8058-A5BFE6A58FE5}"/>
            </c:ext>
          </c:extLst>
        </c:ser>
        <c:ser>
          <c:idx val="9"/>
          <c:order val="9"/>
          <c:tx>
            <c:strRef>
              <c:f>'Branch Pivot'!$K$3:$K$6</c:f>
              <c:strCache>
                <c:ptCount val="1"/>
                <c:pt idx="0">
                  <c:v>February - 2025 - Weight Sold (g)</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Pivot'!$K$7:$K$17</c:f>
              <c:numCache>
                <c:formatCode>0.00</c:formatCode>
                <c:ptCount val="10"/>
                <c:pt idx="0">
                  <c:v>4351.3599999999988</c:v>
                </c:pt>
                <c:pt idx="1">
                  <c:v>6827.7690000000093</c:v>
                </c:pt>
                <c:pt idx="2">
                  <c:v>5339.0999999999995</c:v>
                </c:pt>
                <c:pt idx="3">
                  <c:v>4008.9289999999987</c:v>
                </c:pt>
                <c:pt idx="4">
                  <c:v>3687.1699999999996</c:v>
                </c:pt>
                <c:pt idx="5">
                  <c:v>4186.0999999999995</c:v>
                </c:pt>
                <c:pt idx="6">
                  <c:v>2978.3500000000013</c:v>
                </c:pt>
                <c:pt idx="7">
                  <c:v>3345.9510000000018</c:v>
                </c:pt>
                <c:pt idx="8">
                  <c:v>8751.5279999999984</c:v>
                </c:pt>
                <c:pt idx="9">
                  <c:v>7094.708000000006</c:v>
                </c:pt>
              </c:numCache>
            </c:numRef>
          </c:val>
          <c:extLst>
            <c:ext xmlns:c16="http://schemas.microsoft.com/office/drawing/2014/chart" uri="{C3380CC4-5D6E-409C-BE32-E72D297353CC}">
              <c16:uniqueId val="{00000099-1481-4534-8058-A5BFE6A58FE5}"/>
            </c:ext>
          </c:extLst>
        </c:ser>
        <c:ser>
          <c:idx val="10"/>
          <c:order val="10"/>
          <c:tx>
            <c:strRef>
              <c:f>'Branch Pivot'!$L$3:$L$6</c:f>
              <c:strCache>
                <c:ptCount val="1"/>
                <c:pt idx="0">
                  <c:v>February - 2025 - Transactions</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Pivot'!$L$7:$L$17</c:f>
              <c:numCache>
                <c:formatCode>General</c:formatCode>
                <c:ptCount val="10"/>
                <c:pt idx="0">
                  <c:v>326</c:v>
                </c:pt>
                <c:pt idx="1">
                  <c:v>493</c:v>
                </c:pt>
                <c:pt idx="2">
                  <c:v>343</c:v>
                </c:pt>
                <c:pt idx="3">
                  <c:v>327</c:v>
                </c:pt>
                <c:pt idx="4">
                  <c:v>253</c:v>
                </c:pt>
                <c:pt idx="5">
                  <c:v>507</c:v>
                </c:pt>
                <c:pt idx="6">
                  <c:v>306</c:v>
                </c:pt>
                <c:pt idx="7">
                  <c:v>325</c:v>
                </c:pt>
                <c:pt idx="8">
                  <c:v>373</c:v>
                </c:pt>
                <c:pt idx="9">
                  <c:v>367</c:v>
                </c:pt>
              </c:numCache>
            </c:numRef>
          </c:val>
          <c:extLst>
            <c:ext xmlns:c16="http://schemas.microsoft.com/office/drawing/2014/chart" uri="{C3380CC4-5D6E-409C-BE32-E72D297353CC}">
              <c16:uniqueId val="{0000009A-1481-4534-8058-A5BFE6A58FE5}"/>
            </c:ext>
          </c:extLst>
        </c:ser>
        <c:ser>
          <c:idx val="11"/>
          <c:order val="11"/>
          <c:tx>
            <c:strRef>
              <c:f>'Branch Pivot'!$M$3:$M$6</c:f>
              <c:strCache>
                <c:ptCount val="1"/>
                <c:pt idx="0">
                  <c:v>February - 2025 - Avg Transaction Value</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Pivot'!$M$7:$M$17</c:f>
              <c:numCache>
                <c:formatCode>0.00</c:formatCode>
                <c:ptCount val="10"/>
                <c:pt idx="0">
                  <c:v>4626.99</c:v>
                </c:pt>
                <c:pt idx="1">
                  <c:v>4750.24</c:v>
                </c:pt>
                <c:pt idx="2">
                  <c:v>5554.59</c:v>
                </c:pt>
                <c:pt idx="3">
                  <c:v>4763.13</c:v>
                </c:pt>
                <c:pt idx="4">
                  <c:v>5116.17</c:v>
                </c:pt>
                <c:pt idx="5">
                  <c:v>3362.6</c:v>
                </c:pt>
                <c:pt idx="6">
                  <c:v>4110.6400000000003</c:v>
                </c:pt>
                <c:pt idx="7">
                  <c:v>4003.95</c:v>
                </c:pt>
                <c:pt idx="8">
                  <c:v>7943.66</c:v>
                </c:pt>
                <c:pt idx="9">
                  <c:v>5884.23</c:v>
                </c:pt>
              </c:numCache>
            </c:numRef>
          </c:val>
          <c:extLst>
            <c:ext xmlns:c16="http://schemas.microsoft.com/office/drawing/2014/chart" uri="{C3380CC4-5D6E-409C-BE32-E72D297353CC}">
              <c16:uniqueId val="{0000009B-1481-4534-8058-A5BFE6A58FE5}"/>
            </c:ext>
          </c:extLst>
        </c:ser>
        <c:ser>
          <c:idx val="12"/>
          <c:order val="12"/>
          <c:tx>
            <c:strRef>
              <c:f>'Branch Pivot'!$N$3:$N$6</c:f>
              <c:strCache>
                <c:ptCount val="1"/>
                <c:pt idx="0">
                  <c:v>February - 2026 - Revenue (SAR)</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Pivot'!$N$7:$N$17</c:f>
              <c:numCache>
                <c:formatCode>[$⃁-401]\ #,##0.00</c:formatCode>
                <c:ptCount val="10"/>
                <c:pt idx="0">
                  <c:v>1140334</c:v>
                </c:pt>
                <c:pt idx="1">
                  <c:v>1520935</c:v>
                </c:pt>
                <c:pt idx="2">
                  <c:v>819728</c:v>
                </c:pt>
                <c:pt idx="3">
                  <c:v>689207</c:v>
                </c:pt>
                <c:pt idx="4">
                  <c:v>556192</c:v>
                </c:pt>
                <c:pt idx="5">
                  <c:v>1279329</c:v>
                </c:pt>
                <c:pt idx="6">
                  <c:v>871325</c:v>
                </c:pt>
                <c:pt idx="7">
                  <c:v>558535</c:v>
                </c:pt>
                <c:pt idx="9">
                  <c:v>1020189</c:v>
                </c:pt>
              </c:numCache>
            </c:numRef>
          </c:val>
          <c:extLst>
            <c:ext xmlns:c16="http://schemas.microsoft.com/office/drawing/2014/chart" uri="{C3380CC4-5D6E-409C-BE32-E72D297353CC}">
              <c16:uniqueId val="{0000009C-1481-4534-8058-A5BFE6A58FE5}"/>
            </c:ext>
          </c:extLst>
        </c:ser>
        <c:ser>
          <c:idx val="13"/>
          <c:order val="13"/>
          <c:tx>
            <c:strRef>
              <c:f>'Branch Pivot'!$O$3:$O$6</c:f>
              <c:strCache>
                <c:ptCount val="1"/>
                <c:pt idx="0">
                  <c:v>February - 2026 - Weight Sold (g)</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Pivot'!$O$7:$O$17</c:f>
              <c:numCache>
                <c:formatCode>0.00</c:formatCode>
                <c:ptCount val="10"/>
                <c:pt idx="0">
                  <c:v>3087.12</c:v>
                </c:pt>
                <c:pt idx="1">
                  <c:v>2571.5499999999979</c:v>
                </c:pt>
                <c:pt idx="2">
                  <c:v>1382.5500000000002</c:v>
                </c:pt>
                <c:pt idx="3">
                  <c:v>2037.0500000000002</c:v>
                </c:pt>
                <c:pt idx="4">
                  <c:v>968.27</c:v>
                </c:pt>
                <c:pt idx="5">
                  <c:v>41139.849999999984</c:v>
                </c:pt>
                <c:pt idx="6">
                  <c:v>8206.9000000000015</c:v>
                </c:pt>
                <c:pt idx="7">
                  <c:v>1886.6800000000005</c:v>
                </c:pt>
                <c:pt idx="9">
                  <c:v>3803.0699999999974</c:v>
                </c:pt>
              </c:numCache>
            </c:numRef>
          </c:val>
          <c:extLst>
            <c:ext xmlns:c16="http://schemas.microsoft.com/office/drawing/2014/chart" uri="{C3380CC4-5D6E-409C-BE32-E72D297353CC}">
              <c16:uniqueId val="{0000009D-1481-4534-8058-A5BFE6A58FE5}"/>
            </c:ext>
          </c:extLst>
        </c:ser>
        <c:ser>
          <c:idx val="14"/>
          <c:order val="14"/>
          <c:tx>
            <c:strRef>
              <c:f>'Branch Pivot'!$P$3:$P$6</c:f>
              <c:strCache>
                <c:ptCount val="1"/>
                <c:pt idx="0">
                  <c:v>February - 2026 - Transactions</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Pivot'!$P$7:$P$17</c:f>
              <c:numCache>
                <c:formatCode>General</c:formatCode>
                <c:ptCount val="10"/>
                <c:pt idx="0">
                  <c:v>117</c:v>
                </c:pt>
                <c:pt idx="1">
                  <c:v>215</c:v>
                </c:pt>
                <c:pt idx="2">
                  <c:v>134</c:v>
                </c:pt>
                <c:pt idx="3">
                  <c:v>114</c:v>
                </c:pt>
                <c:pt idx="4">
                  <c:v>90</c:v>
                </c:pt>
                <c:pt idx="5">
                  <c:v>206</c:v>
                </c:pt>
                <c:pt idx="6">
                  <c:v>138</c:v>
                </c:pt>
                <c:pt idx="7">
                  <c:v>108</c:v>
                </c:pt>
                <c:pt idx="9">
                  <c:v>164</c:v>
                </c:pt>
              </c:numCache>
            </c:numRef>
          </c:val>
          <c:extLst>
            <c:ext xmlns:c16="http://schemas.microsoft.com/office/drawing/2014/chart" uri="{C3380CC4-5D6E-409C-BE32-E72D297353CC}">
              <c16:uniqueId val="{0000009E-1481-4534-8058-A5BFE6A58FE5}"/>
            </c:ext>
          </c:extLst>
        </c:ser>
        <c:ser>
          <c:idx val="15"/>
          <c:order val="15"/>
          <c:tx>
            <c:strRef>
              <c:f>'Branch Pivot'!$Q$3:$Q$6</c:f>
              <c:strCache>
                <c:ptCount val="1"/>
                <c:pt idx="0">
                  <c:v>February - 2026 - Avg Transaction Value</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Pivot'!$Q$7:$Q$17</c:f>
              <c:numCache>
                <c:formatCode>0.00</c:formatCode>
                <c:ptCount val="10"/>
                <c:pt idx="0">
                  <c:v>9746.44</c:v>
                </c:pt>
                <c:pt idx="1">
                  <c:v>7074.12</c:v>
                </c:pt>
                <c:pt idx="2">
                  <c:v>6117.37</c:v>
                </c:pt>
                <c:pt idx="3">
                  <c:v>6045.68</c:v>
                </c:pt>
                <c:pt idx="4">
                  <c:v>6179.91</c:v>
                </c:pt>
                <c:pt idx="5">
                  <c:v>6210.33</c:v>
                </c:pt>
                <c:pt idx="6">
                  <c:v>6313.95</c:v>
                </c:pt>
                <c:pt idx="7">
                  <c:v>5171.62</c:v>
                </c:pt>
                <c:pt idx="9">
                  <c:v>6220.66</c:v>
                </c:pt>
              </c:numCache>
            </c:numRef>
          </c:val>
          <c:extLst>
            <c:ext xmlns:c16="http://schemas.microsoft.com/office/drawing/2014/chart" uri="{C3380CC4-5D6E-409C-BE32-E72D297353CC}">
              <c16:uniqueId val="{0000009F-1481-4534-8058-A5BFE6A58FE5}"/>
            </c:ext>
          </c:extLst>
        </c:ser>
        <c:ser>
          <c:idx val="16"/>
          <c:order val="16"/>
          <c:tx>
            <c:strRef>
              <c:f>'Branch Pivot'!$R$3:$R$6</c:f>
              <c:strCache>
                <c:ptCount val="1"/>
                <c:pt idx="0">
                  <c:v>March - 2025 - Revenue (SAR)</c:v>
                </c:pt>
              </c:strCache>
            </c:strRef>
          </c:tx>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Pivot'!$R$7:$R$17</c:f>
              <c:numCache>
                <c:formatCode>[$⃁-401]\ #,##0.00</c:formatCode>
                <c:ptCount val="10"/>
                <c:pt idx="0">
                  <c:v>2437358</c:v>
                </c:pt>
                <c:pt idx="1">
                  <c:v>3165685</c:v>
                </c:pt>
                <c:pt idx="2">
                  <c:v>2354166</c:v>
                </c:pt>
                <c:pt idx="3">
                  <c:v>2377075</c:v>
                </c:pt>
                <c:pt idx="4">
                  <c:v>1797550</c:v>
                </c:pt>
                <c:pt idx="5">
                  <c:v>2686355</c:v>
                </c:pt>
                <c:pt idx="6">
                  <c:v>2187325</c:v>
                </c:pt>
                <c:pt idx="7">
                  <c:v>2076905</c:v>
                </c:pt>
                <c:pt idx="8">
                  <c:v>2647159</c:v>
                </c:pt>
              </c:numCache>
            </c:numRef>
          </c:val>
          <c:extLst>
            <c:ext xmlns:c16="http://schemas.microsoft.com/office/drawing/2014/chart" uri="{C3380CC4-5D6E-409C-BE32-E72D297353CC}">
              <c16:uniqueId val="{000000A0-1481-4534-8058-A5BFE6A58FE5}"/>
            </c:ext>
          </c:extLst>
        </c:ser>
        <c:ser>
          <c:idx val="17"/>
          <c:order val="17"/>
          <c:tx>
            <c:strRef>
              <c:f>'Branch Pivot'!$S$3:$S$6</c:f>
              <c:strCache>
                <c:ptCount val="1"/>
                <c:pt idx="0">
                  <c:v>March - 2025 - Weight Sold (g)</c:v>
                </c:pt>
              </c:strCache>
            </c:strRef>
          </c:tx>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Pivot'!$S$7:$S$17</c:f>
              <c:numCache>
                <c:formatCode>0.00</c:formatCode>
                <c:ptCount val="10"/>
                <c:pt idx="0">
                  <c:v>6683.4000000000033</c:v>
                </c:pt>
                <c:pt idx="1">
                  <c:v>17606.850000000042</c:v>
                </c:pt>
                <c:pt idx="2">
                  <c:v>6697.3400000000074</c:v>
                </c:pt>
                <c:pt idx="3">
                  <c:v>6052.4299999999994</c:v>
                </c:pt>
                <c:pt idx="4">
                  <c:v>7804.359999999996</c:v>
                </c:pt>
                <c:pt idx="5">
                  <c:v>6383.0400000000027</c:v>
                </c:pt>
                <c:pt idx="6">
                  <c:v>6065.2200000000066</c:v>
                </c:pt>
                <c:pt idx="7">
                  <c:v>7339.5800000000063</c:v>
                </c:pt>
                <c:pt idx="8">
                  <c:v>7937.2300000000087</c:v>
                </c:pt>
              </c:numCache>
            </c:numRef>
          </c:val>
          <c:extLst>
            <c:ext xmlns:c16="http://schemas.microsoft.com/office/drawing/2014/chart" uri="{C3380CC4-5D6E-409C-BE32-E72D297353CC}">
              <c16:uniqueId val="{000000A1-1481-4534-8058-A5BFE6A58FE5}"/>
            </c:ext>
          </c:extLst>
        </c:ser>
        <c:ser>
          <c:idx val="18"/>
          <c:order val="18"/>
          <c:tx>
            <c:strRef>
              <c:f>'Branch Pivot'!$T$3:$T$6</c:f>
              <c:strCache>
                <c:ptCount val="1"/>
                <c:pt idx="0">
                  <c:v>March - 2025 - Transactions</c:v>
                </c:pt>
              </c:strCache>
            </c:strRef>
          </c:tx>
          <c:spPr>
            <a:noFill/>
            <a:ln w="9525" cap="flat" cmpd="sng" algn="ctr">
              <a:solidFill>
                <a:schemeClr val="accent1">
                  <a:lumMod val="80000"/>
                </a:schemeClr>
              </a:solidFill>
              <a:miter lim="800000"/>
            </a:ln>
            <a:effectLst>
              <a:glow rad="63500">
                <a:schemeClr val="accent1">
                  <a:lumMod val="8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Pivot'!$T$7:$T$17</c:f>
              <c:numCache>
                <c:formatCode>General</c:formatCode>
                <c:ptCount val="10"/>
                <c:pt idx="0">
                  <c:v>424</c:v>
                </c:pt>
                <c:pt idx="1">
                  <c:v>641</c:v>
                </c:pt>
                <c:pt idx="2">
                  <c:v>457</c:v>
                </c:pt>
                <c:pt idx="3">
                  <c:v>449</c:v>
                </c:pt>
                <c:pt idx="4">
                  <c:v>308</c:v>
                </c:pt>
                <c:pt idx="5">
                  <c:v>821</c:v>
                </c:pt>
                <c:pt idx="6">
                  <c:v>472</c:v>
                </c:pt>
                <c:pt idx="7">
                  <c:v>425</c:v>
                </c:pt>
                <c:pt idx="8">
                  <c:v>394</c:v>
                </c:pt>
              </c:numCache>
            </c:numRef>
          </c:val>
          <c:extLst>
            <c:ext xmlns:c16="http://schemas.microsoft.com/office/drawing/2014/chart" uri="{C3380CC4-5D6E-409C-BE32-E72D297353CC}">
              <c16:uniqueId val="{000000A2-1481-4534-8058-A5BFE6A58FE5}"/>
            </c:ext>
          </c:extLst>
        </c:ser>
        <c:ser>
          <c:idx val="19"/>
          <c:order val="19"/>
          <c:tx>
            <c:strRef>
              <c:f>'Branch Pivot'!$U$3:$U$6</c:f>
              <c:strCache>
                <c:ptCount val="1"/>
                <c:pt idx="0">
                  <c:v>March - 2025 - Avg Transaction Value</c:v>
                </c:pt>
              </c:strCache>
            </c:strRef>
          </c:tx>
          <c:spPr>
            <a:noFill/>
            <a:ln w="9525" cap="flat" cmpd="sng" algn="ctr">
              <a:solidFill>
                <a:schemeClr val="accent2">
                  <a:lumMod val="80000"/>
                </a:schemeClr>
              </a:solidFill>
              <a:miter lim="800000"/>
            </a:ln>
            <a:effectLst>
              <a:glow rad="63500">
                <a:schemeClr val="accent2">
                  <a:lumMod val="8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Pivot'!$U$7:$U$17</c:f>
              <c:numCache>
                <c:formatCode>0.00</c:formatCode>
                <c:ptCount val="10"/>
                <c:pt idx="0">
                  <c:v>5748.49</c:v>
                </c:pt>
                <c:pt idx="1">
                  <c:v>4938.67</c:v>
                </c:pt>
                <c:pt idx="2">
                  <c:v>5151.3500000000004</c:v>
                </c:pt>
                <c:pt idx="3">
                  <c:v>5294.15</c:v>
                </c:pt>
                <c:pt idx="4">
                  <c:v>5836.2</c:v>
                </c:pt>
                <c:pt idx="5">
                  <c:v>3272.05</c:v>
                </c:pt>
                <c:pt idx="6">
                  <c:v>4634.16</c:v>
                </c:pt>
                <c:pt idx="7">
                  <c:v>4886.84</c:v>
                </c:pt>
                <c:pt idx="8">
                  <c:v>6718.68</c:v>
                </c:pt>
              </c:numCache>
            </c:numRef>
          </c:val>
          <c:extLst>
            <c:ext xmlns:c16="http://schemas.microsoft.com/office/drawing/2014/chart" uri="{C3380CC4-5D6E-409C-BE32-E72D297353CC}">
              <c16:uniqueId val="{000000A3-1481-4534-8058-A5BFE6A58FE5}"/>
            </c:ext>
          </c:extLst>
        </c:ser>
        <c:ser>
          <c:idx val="20"/>
          <c:order val="20"/>
          <c:tx>
            <c:strRef>
              <c:f>'Branch Pivot'!$V$3:$V$6</c:f>
              <c:strCache>
                <c:ptCount val="1"/>
                <c:pt idx="0">
                  <c:v>April - 2025 - Revenue (SAR)</c:v>
                </c:pt>
              </c:strCache>
            </c:strRef>
          </c:tx>
          <c:spPr>
            <a:noFill/>
            <a:ln w="9525" cap="flat" cmpd="sng" algn="ctr">
              <a:solidFill>
                <a:schemeClr val="accent3">
                  <a:lumMod val="80000"/>
                </a:schemeClr>
              </a:solidFill>
              <a:miter lim="800000"/>
            </a:ln>
            <a:effectLst>
              <a:glow rad="63500">
                <a:schemeClr val="accent3">
                  <a:lumMod val="8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Pivot'!$V$7:$V$17</c:f>
              <c:numCache>
                <c:formatCode>[$⃁-401]\ #,##0.00</c:formatCode>
                <c:ptCount val="10"/>
                <c:pt idx="0">
                  <c:v>2834058</c:v>
                </c:pt>
                <c:pt idx="1">
                  <c:v>3610485</c:v>
                </c:pt>
                <c:pt idx="2">
                  <c:v>2684360</c:v>
                </c:pt>
                <c:pt idx="3">
                  <c:v>1620140</c:v>
                </c:pt>
                <c:pt idx="4">
                  <c:v>2845909</c:v>
                </c:pt>
                <c:pt idx="5">
                  <c:v>1516311</c:v>
                </c:pt>
                <c:pt idx="6">
                  <c:v>2379143</c:v>
                </c:pt>
                <c:pt idx="7">
                  <c:v>2286780</c:v>
                </c:pt>
                <c:pt idx="8">
                  <c:v>3630299</c:v>
                </c:pt>
                <c:pt idx="9">
                  <c:v>3577391</c:v>
                </c:pt>
              </c:numCache>
            </c:numRef>
          </c:val>
          <c:extLst>
            <c:ext xmlns:c16="http://schemas.microsoft.com/office/drawing/2014/chart" uri="{C3380CC4-5D6E-409C-BE32-E72D297353CC}">
              <c16:uniqueId val="{000000A4-1481-4534-8058-A5BFE6A58FE5}"/>
            </c:ext>
          </c:extLst>
        </c:ser>
        <c:ser>
          <c:idx val="21"/>
          <c:order val="21"/>
          <c:tx>
            <c:strRef>
              <c:f>'Branch Pivot'!$W$3:$W$6</c:f>
              <c:strCache>
                <c:ptCount val="1"/>
                <c:pt idx="0">
                  <c:v>April - 2025 - Weight Sold (g)</c:v>
                </c:pt>
              </c:strCache>
            </c:strRef>
          </c:tx>
          <c:spPr>
            <a:noFill/>
            <a:ln w="9525" cap="flat" cmpd="sng" algn="ctr">
              <a:solidFill>
                <a:schemeClr val="accent4">
                  <a:lumMod val="80000"/>
                </a:schemeClr>
              </a:solidFill>
              <a:miter lim="800000"/>
            </a:ln>
            <a:effectLst>
              <a:glow rad="63500">
                <a:schemeClr val="accent4">
                  <a:lumMod val="8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Pivot'!$W$7:$W$17</c:f>
              <c:numCache>
                <c:formatCode>0.00</c:formatCode>
                <c:ptCount val="10"/>
                <c:pt idx="0">
                  <c:v>12388.739999999989</c:v>
                </c:pt>
                <c:pt idx="1">
                  <c:v>9623.350000000004</c:v>
                </c:pt>
                <c:pt idx="2">
                  <c:v>11027.080000000004</c:v>
                </c:pt>
                <c:pt idx="3">
                  <c:v>6720.5700000000079</c:v>
                </c:pt>
                <c:pt idx="4">
                  <c:v>11275.690000000013</c:v>
                </c:pt>
                <c:pt idx="5">
                  <c:v>3414.5800000000017</c:v>
                </c:pt>
                <c:pt idx="6">
                  <c:v>6694.9730000000018</c:v>
                </c:pt>
                <c:pt idx="7">
                  <c:v>11965.854000000014</c:v>
                </c:pt>
                <c:pt idx="8">
                  <c:v>13502.050000000003</c:v>
                </c:pt>
                <c:pt idx="9">
                  <c:v>9107.4060000000118</c:v>
                </c:pt>
              </c:numCache>
            </c:numRef>
          </c:val>
          <c:extLst>
            <c:ext xmlns:c16="http://schemas.microsoft.com/office/drawing/2014/chart" uri="{C3380CC4-5D6E-409C-BE32-E72D297353CC}">
              <c16:uniqueId val="{000000A5-1481-4534-8058-A5BFE6A58FE5}"/>
            </c:ext>
          </c:extLst>
        </c:ser>
        <c:ser>
          <c:idx val="22"/>
          <c:order val="22"/>
          <c:tx>
            <c:strRef>
              <c:f>'Branch Pivot'!$X$3:$X$6</c:f>
              <c:strCache>
                <c:ptCount val="1"/>
                <c:pt idx="0">
                  <c:v>April - 2025 - Transactions</c:v>
                </c:pt>
              </c:strCache>
            </c:strRef>
          </c:tx>
          <c:spPr>
            <a:noFill/>
            <a:ln w="9525" cap="flat" cmpd="sng" algn="ctr">
              <a:solidFill>
                <a:schemeClr val="accent5">
                  <a:lumMod val="80000"/>
                </a:schemeClr>
              </a:solidFill>
              <a:miter lim="800000"/>
            </a:ln>
            <a:effectLst>
              <a:glow rad="63500">
                <a:schemeClr val="accent5">
                  <a:lumMod val="8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Pivot'!$X$7:$X$17</c:f>
              <c:numCache>
                <c:formatCode>General</c:formatCode>
                <c:ptCount val="10"/>
                <c:pt idx="0">
                  <c:v>450</c:v>
                </c:pt>
                <c:pt idx="1">
                  <c:v>605</c:v>
                </c:pt>
                <c:pt idx="2">
                  <c:v>450</c:v>
                </c:pt>
                <c:pt idx="3">
                  <c:v>306</c:v>
                </c:pt>
                <c:pt idx="4">
                  <c:v>395</c:v>
                </c:pt>
                <c:pt idx="5">
                  <c:v>476</c:v>
                </c:pt>
                <c:pt idx="6">
                  <c:v>419</c:v>
                </c:pt>
                <c:pt idx="7">
                  <c:v>380</c:v>
                </c:pt>
                <c:pt idx="8">
                  <c:v>471</c:v>
                </c:pt>
                <c:pt idx="9">
                  <c:v>501</c:v>
                </c:pt>
              </c:numCache>
            </c:numRef>
          </c:val>
          <c:extLst>
            <c:ext xmlns:c16="http://schemas.microsoft.com/office/drawing/2014/chart" uri="{C3380CC4-5D6E-409C-BE32-E72D297353CC}">
              <c16:uniqueId val="{000000A6-1481-4534-8058-A5BFE6A58FE5}"/>
            </c:ext>
          </c:extLst>
        </c:ser>
        <c:ser>
          <c:idx val="23"/>
          <c:order val="23"/>
          <c:tx>
            <c:strRef>
              <c:f>'Branch Pivot'!$Y$3:$Y$6</c:f>
              <c:strCache>
                <c:ptCount val="1"/>
                <c:pt idx="0">
                  <c:v>April - 2025 - Avg Transaction Value</c:v>
                </c:pt>
              </c:strCache>
            </c:strRef>
          </c:tx>
          <c:spPr>
            <a:noFill/>
            <a:ln w="9525" cap="flat" cmpd="sng" algn="ctr">
              <a:solidFill>
                <a:schemeClr val="accent6">
                  <a:lumMod val="80000"/>
                </a:schemeClr>
              </a:solidFill>
              <a:miter lim="800000"/>
            </a:ln>
            <a:effectLst>
              <a:glow rad="63500">
                <a:schemeClr val="accent6">
                  <a:lumMod val="8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Pivot'!$Y$7:$Y$17</c:f>
              <c:numCache>
                <c:formatCode>0.00</c:formatCode>
                <c:ptCount val="10"/>
                <c:pt idx="0">
                  <c:v>6297.91</c:v>
                </c:pt>
                <c:pt idx="1">
                  <c:v>5967.74</c:v>
                </c:pt>
                <c:pt idx="2">
                  <c:v>5965.24</c:v>
                </c:pt>
                <c:pt idx="3">
                  <c:v>5294.58</c:v>
                </c:pt>
                <c:pt idx="4">
                  <c:v>7204.83</c:v>
                </c:pt>
                <c:pt idx="5">
                  <c:v>3185.53</c:v>
                </c:pt>
                <c:pt idx="6">
                  <c:v>5678.15</c:v>
                </c:pt>
                <c:pt idx="7">
                  <c:v>6017.84</c:v>
                </c:pt>
                <c:pt idx="8">
                  <c:v>7707.64</c:v>
                </c:pt>
                <c:pt idx="9">
                  <c:v>7140.5</c:v>
                </c:pt>
              </c:numCache>
            </c:numRef>
          </c:val>
          <c:extLst>
            <c:ext xmlns:c16="http://schemas.microsoft.com/office/drawing/2014/chart" uri="{C3380CC4-5D6E-409C-BE32-E72D297353CC}">
              <c16:uniqueId val="{000000A7-1481-4534-8058-A5BFE6A58FE5}"/>
            </c:ext>
          </c:extLst>
        </c:ser>
        <c:ser>
          <c:idx val="24"/>
          <c:order val="24"/>
          <c:tx>
            <c:strRef>
              <c:f>'Branch Pivot'!$Z$3:$Z$6</c:f>
              <c:strCache>
                <c:ptCount val="1"/>
                <c:pt idx="0">
                  <c:v>May - 2025 - Revenue (SAR)</c:v>
                </c:pt>
              </c:strCache>
            </c:strRef>
          </c:tx>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Pivot'!$Z$7:$Z$17</c:f>
              <c:numCache>
                <c:formatCode>[$⃁-401]\ #,##0.00</c:formatCode>
                <c:ptCount val="10"/>
                <c:pt idx="0">
                  <c:v>3126763</c:v>
                </c:pt>
                <c:pt idx="1">
                  <c:v>3802280</c:v>
                </c:pt>
                <c:pt idx="2">
                  <c:v>2452005</c:v>
                </c:pt>
                <c:pt idx="3">
                  <c:v>1804331</c:v>
                </c:pt>
                <c:pt idx="4">
                  <c:v>2647020</c:v>
                </c:pt>
                <c:pt idx="5">
                  <c:v>1820764</c:v>
                </c:pt>
                <c:pt idx="6">
                  <c:v>2361365</c:v>
                </c:pt>
                <c:pt idx="7">
                  <c:v>2165195</c:v>
                </c:pt>
                <c:pt idx="8">
                  <c:v>4849024</c:v>
                </c:pt>
                <c:pt idx="9">
                  <c:v>4423701</c:v>
                </c:pt>
              </c:numCache>
            </c:numRef>
          </c:val>
          <c:extLst>
            <c:ext xmlns:c16="http://schemas.microsoft.com/office/drawing/2014/chart" uri="{C3380CC4-5D6E-409C-BE32-E72D297353CC}">
              <c16:uniqueId val="{000000A8-1481-4534-8058-A5BFE6A58FE5}"/>
            </c:ext>
          </c:extLst>
        </c:ser>
        <c:ser>
          <c:idx val="25"/>
          <c:order val="25"/>
          <c:tx>
            <c:strRef>
              <c:f>'Branch Pivot'!$AA$3:$AA$6</c:f>
              <c:strCache>
                <c:ptCount val="1"/>
                <c:pt idx="0">
                  <c:v>May - 2025 - Weight Sold (g)</c:v>
                </c:pt>
              </c:strCache>
            </c:strRef>
          </c:tx>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Pivot'!$AA$7:$AA$17</c:f>
              <c:numCache>
                <c:formatCode>0.00</c:formatCode>
                <c:ptCount val="10"/>
                <c:pt idx="0">
                  <c:v>8054.8700000000081</c:v>
                </c:pt>
                <c:pt idx="1">
                  <c:v>10020.650000000005</c:v>
                </c:pt>
                <c:pt idx="2">
                  <c:v>9053.670000000011</c:v>
                </c:pt>
                <c:pt idx="3">
                  <c:v>4144.7720000000008</c:v>
                </c:pt>
                <c:pt idx="4">
                  <c:v>15483.920000000002</c:v>
                </c:pt>
                <c:pt idx="5">
                  <c:v>5987.7199999999984</c:v>
                </c:pt>
                <c:pt idx="6">
                  <c:v>5392.1099999999942</c:v>
                </c:pt>
                <c:pt idx="7">
                  <c:v>5247.8590000000086</c:v>
                </c:pt>
                <c:pt idx="8">
                  <c:v>15474.140000000014</c:v>
                </c:pt>
                <c:pt idx="9">
                  <c:v>11274.420000000015</c:v>
                </c:pt>
              </c:numCache>
            </c:numRef>
          </c:val>
          <c:extLst>
            <c:ext xmlns:c16="http://schemas.microsoft.com/office/drawing/2014/chart" uri="{C3380CC4-5D6E-409C-BE32-E72D297353CC}">
              <c16:uniqueId val="{000000A9-1481-4534-8058-A5BFE6A58FE5}"/>
            </c:ext>
          </c:extLst>
        </c:ser>
        <c:ser>
          <c:idx val="26"/>
          <c:order val="26"/>
          <c:tx>
            <c:strRef>
              <c:f>'Branch Pivot'!$AB$3:$AB$6</c:f>
              <c:strCache>
                <c:ptCount val="1"/>
                <c:pt idx="0">
                  <c:v>May - 2025 - Transactions</c:v>
                </c:pt>
              </c:strCache>
            </c:strRef>
          </c:tx>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Pivot'!$AB$7:$AB$17</c:f>
              <c:numCache>
                <c:formatCode>General</c:formatCode>
                <c:ptCount val="10"/>
                <c:pt idx="0">
                  <c:v>520</c:v>
                </c:pt>
                <c:pt idx="1">
                  <c:v>724</c:v>
                </c:pt>
                <c:pt idx="2">
                  <c:v>516</c:v>
                </c:pt>
                <c:pt idx="3">
                  <c:v>341</c:v>
                </c:pt>
                <c:pt idx="4">
                  <c:v>438</c:v>
                </c:pt>
                <c:pt idx="5">
                  <c:v>625</c:v>
                </c:pt>
                <c:pt idx="6">
                  <c:v>478</c:v>
                </c:pt>
                <c:pt idx="7">
                  <c:v>433</c:v>
                </c:pt>
                <c:pt idx="8">
                  <c:v>537</c:v>
                </c:pt>
                <c:pt idx="9">
                  <c:v>656</c:v>
                </c:pt>
              </c:numCache>
            </c:numRef>
          </c:val>
          <c:extLst>
            <c:ext xmlns:c16="http://schemas.microsoft.com/office/drawing/2014/chart" uri="{C3380CC4-5D6E-409C-BE32-E72D297353CC}">
              <c16:uniqueId val="{000000AA-1481-4534-8058-A5BFE6A58FE5}"/>
            </c:ext>
          </c:extLst>
        </c:ser>
        <c:ser>
          <c:idx val="27"/>
          <c:order val="27"/>
          <c:tx>
            <c:strRef>
              <c:f>'Branch Pivot'!$AC$3:$AC$6</c:f>
              <c:strCache>
                <c:ptCount val="1"/>
                <c:pt idx="0">
                  <c:v>May - 2025 - Avg Transaction Value</c:v>
                </c:pt>
              </c:strCache>
            </c:strRef>
          </c:tx>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Pivot'!$AC$7:$AC$17</c:f>
              <c:numCache>
                <c:formatCode>0.00</c:formatCode>
                <c:ptCount val="10"/>
                <c:pt idx="0">
                  <c:v>6013.01</c:v>
                </c:pt>
                <c:pt idx="1">
                  <c:v>5251.77</c:v>
                </c:pt>
                <c:pt idx="2">
                  <c:v>4751.95</c:v>
                </c:pt>
                <c:pt idx="3">
                  <c:v>5291.29</c:v>
                </c:pt>
                <c:pt idx="4">
                  <c:v>6043.42</c:v>
                </c:pt>
                <c:pt idx="5">
                  <c:v>2913.22</c:v>
                </c:pt>
                <c:pt idx="6">
                  <c:v>4940.09</c:v>
                </c:pt>
                <c:pt idx="7">
                  <c:v>5000.45</c:v>
                </c:pt>
                <c:pt idx="8">
                  <c:v>9029.84</c:v>
                </c:pt>
                <c:pt idx="9">
                  <c:v>6743.45</c:v>
                </c:pt>
              </c:numCache>
            </c:numRef>
          </c:val>
          <c:extLst>
            <c:ext xmlns:c16="http://schemas.microsoft.com/office/drawing/2014/chart" uri="{C3380CC4-5D6E-409C-BE32-E72D297353CC}">
              <c16:uniqueId val="{000000AB-1481-4534-8058-A5BFE6A58FE5}"/>
            </c:ext>
          </c:extLst>
        </c:ser>
        <c:ser>
          <c:idx val="28"/>
          <c:order val="28"/>
          <c:tx>
            <c:strRef>
              <c:f>'Branch Pivot'!$AD$3:$AD$6</c:f>
              <c:strCache>
                <c:ptCount val="1"/>
                <c:pt idx="0">
                  <c:v>June - 2025 - Revenue (SAR)</c:v>
                </c:pt>
              </c:strCache>
            </c:strRef>
          </c:tx>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Pivot'!$AD$7:$AD$17</c:f>
              <c:numCache>
                <c:formatCode>[$⃁-401]\ #,##0.00</c:formatCode>
                <c:ptCount val="10"/>
                <c:pt idx="0">
                  <c:v>2119346</c:v>
                </c:pt>
                <c:pt idx="1">
                  <c:v>2498220</c:v>
                </c:pt>
                <c:pt idx="2">
                  <c:v>1668087</c:v>
                </c:pt>
                <c:pt idx="3">
                  <c:v>1218640</c:v>
                </c:pt>
                <c:pt idx="4">
                  <c:v>1391570</c:v>
                </c:pt>
                <c:pt idx="5">
                  <c:v>1842641</c:v>
                </c:pt>
                <c:pt idx="6">
                  <c:v>1704910</c:v>
                </c:pt>
                <c:pt idx="7">
                  <c:v>1550850</c:v>
                </c:pt>
                <c:pt idx="8">
                  <c:v>2438467</c:v>
                </c:pt>
                <c:pt idx="9">
                  <c:v>2773682</c:v>
                </c:pt>
              </c:numCache>
            </c:numRef>
          </c:val>
          <c:extLst>
            <c:ext xmlns:c16="http://schemas.microsoft.com/office/drawing/2014/chart" uri="{C3380CC4-5D6E-409C-BE32-E72D297353CC}">
              <c16:uniqueId val="{000000AC-1481-4534-8058-A5BFE6A58FE5}"/>
            </c:ext>
          </c:extLst>
        </c:ser>
        <c:ser>
          <c:idx val="29"/>
          <c:order val="29"/>
          <c:tx>
            <c:strRef>
              <c:f>'Branch Pivot'!$AE$3:$AE$6</c:f>
              <c:strCache>
                <c:ptCount val="1"/>
                <c:pt idx="0">
                  <c:v>June - 2025 - Weight Sold (g)</c:v>
                </c:pt>
              </c:strCache>
            </c:strRef>
          </c:tx>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Pivot'!$AE$7:$AE$17</c:f>
              <c:numCache>
                <c:formatCode>0.00</c:formatCode>
                <c:ptCount val="10"/>
                <c:pt idx="0">
                  <c:v>6304.5200000000023</c:v>
                </c:pt>
                <c:pt idx="1">
                  <c:v>6339.0299999999961</c:v>
                </c:pt>
                <c:pt idx="2">
                  <c:v>4191.9599999999991</c:v>
                </c:pt>
                <c:pt idx="3">
                  <c:v>2761.8400000000006</c:v>
                </c:pt>
                <c:pt idx="4">
                  <c:v>4652.6800000000048</c:v>
                </c:pt>
                <c:pt idx="5">
                  <c:v>4015.7199999999948</c:v>
                </c:pt>
                <c:pt idx="6">
                  <c:v>5970.329999999999</c:v>
                </c:pt>
                <c:pt idx="7">
                  <c:v>3584.2300000000018</c:v>
                </c:pt>
                <c:pt idx="8">
                  <c:v>7180.520000000005</c:v>
                </c:pt>
                <c:pt idx="9">
                  <c:v>7061.5000000000064</c:v>
                </c:pt>
              </c:numCache>
            </c:numRef>
          </c:val>
          <c:extLst>
            <c:ext xmlns:c16="http://schemas.microsoft.com/office/drawing/2014/chart" uri="{C3380CC4-5D6E-409C-BE32-E72D297353CC}">
              <c16:uniqueId val="{000000AD-1481-4534-8058-A5BFE6A58FE5}"/>
            </c:ext>
          </c:extLst>
        </c:ser>
        <c:ser>
          <c:idx val="30"/>
          <c:order val="30"/>
          <c:tx>
            <c:strRef>
              <c:f>'Branch Pivot'!$AF$3:$AF$6</c:f>
              <c:strCache>
                <c:ptCount val="1"/>
                <c:pt idx="0">
                  <c:v>June - 2025 - Transactions</c:v>
                </c:pt>
              </c:strCache>
            </c:strRef>
          </c:tx>
          <c:spPr>
            <a:noFill/>
            <a:ln w="9525" cap="flat" cmpd="sng" algn="ctr">
              <a:solidFill>
                <a:schemeClr val="accent1">
                  <a:lumMod val="50000"/>
                </a:schemeClr>
              </a:solidFill>
              <a:miter lim="800000"/>
            </a:ln>
            <a:effectLst>
              <a:glow rad="63500">
                <a:schemeClr val="accent1">
                  <a:lumMod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Pivot'!$AF$7:$AF$17</c:f>
              <c:numCache>
                <c:formatCode>General</c:formatCode>
                <c:ptCount val="10"/>
                <c:pt idx="0">
                  <c:v>341</c:v>
                </c:pt>
                <c:pt idx="1">
                  <c:v>500</c:v>
                </c:pt>
                <c:pt idx="2">
                  <c:v>295</c:v>
                </c:pt>
                <c:pt idx="3">
                  <c:v>255</c:v>
                </c:pt>
                <c:pt idx="4">
                  <c:v>243</c:v>
                </c:pt>
                <c:pt idx="5">
                  <c:v>563</c:v>
                </c:pt>
                <c:pt idx="6">
                  <c:v>391</c:v>
                </c:pt>
                <c:pt idx="7">
                  <c:v>292</c:v>
                </c:pt>
                <c:pt idx="8">
                  <c:v>343</c:v>
                </c:pt>
                <c:pt idx="9">
                  <c:v>407</c:v>
                </c:pt>
              </c:numCache>
            </c:numRef>
          </c:val>
          <c:extLst>
            <c:ext xmlns:c16="http://schemas.microsoft.com/office/drawing/2014/chart" uri="{C3380CC4-5D6E-409C-BE32-E72D297353CC}">
              <c16:uniqueId val="{000000AE-1481-4534-8058-A5BFE6A58FE5}"/>
            </c:ext>
          </c:extLst>
        </c:ser>
        <c:ser>
          <c:idx val="31"/>
          <c:order val="31"/>
          <c:tx>
            <c:strRef>
              <c:f>'Branch Pivot'!$AG$3:$AG$6</c:f>
              <c:strCache>
                <c:ptCount val="1"/>
                <c:pt idx="0">
                  <c:v>June - 2025 - Avg Transaction Value</c:v>
                </c:pt>
              </c:strCache>
            </c:strRef>
          </c:tx>
          <c:spPr>
            <a:noFill/>
            <a:ln w="9525" cap="flat" cmpd="sng" algn="ctr">
              <a:solidFill>
                <a:schemeClr val="accent2">
                  <a:lumMod val="50000"/>
                </a:schemeClr>
              </a:solidFill>
              <a:miter lim="800000"/>
            </a:ln>
            <a:effectLst>
              <a:glow rad="63500">
                <a:schemeClr val="accent2">
                  <a:lumMod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Pivot'!$AG$7:$AG$17</c:f>
              <c:numCache>
                <c:formatCode>0.00</c:formatCode>
                <c:ptCount val="10"/>
                <c:pt idx="0">
                  <c:v>6215.09</c:v>
                </c:pt>
                <c:pt idx="1">
                  <c:v>4996.4399999999996</c:v>
                </c:pt>
                <c:pt idx="2">
                  <c:v>5654.53</c:v>
                </c:pt>
                <c:pt idx="3">
                  <c:v>4778.9799999999996</c:v>
                </c:pt>
                <c:pt idx="4">
                  <c:v>5726.63</c:v>
                </c:pt>
                <c:pt idx="5">
                  <c:v>3272.9</c:v>
                </c:pt>
                <c:pt idx="6">
                  <c:v>4360.38</c:v>
                </c:pt>
                <c:pt idx="7">
                  <c:v>5311.13</c:v>
                </c:pt>
                <c:pt idx="8">
                  <c:v>7109.23</c:v>
                </c:pt>
                <c:pt idx="9">
                  <c:v>6814.94</c:v>
                </c:pt>
              </c:numCache>
            </c:numRef>
          </c:val>
          <c:extLst>
            <c:ext xmlns:c16="http://schemas.microsoft.com/office/drawing/2014/chart" uri="{C3380CC4-5D6E-409C-BE32-E72D297353CC}">
              <c16:uniqueId val="{000000AF-1481-4534-8058-A5BFE6A58FE5}"/>
            </c:ext>
          </c:extLst>
        </c:ser>
        <c:ser>
          <c:idx val="32"/>
          <c:order val="32"/>
          <c:tx>
            <c:strRef>
              <c:f>'Branch Pivot'!$AH$3:$AH$6</c:f>
              <c:strCache>
                <c:ptCount val="1"/>
                <c:pt idx="0">
                  <c:v>July - 2025 - Revenue (SAR)</c:v>
                </c:pt>
              </c:strCache>
            </c:strRef>
          </c:tx>
          <c:spPr>
            <a:noFill/>
            <a:ln w="9525" cap="flat" cmpd="sng" algn="ctr">
              <a:solidFill>
                <a:schemeClr val="accent3">
                  <a:lumMod val="50000"/>
                </a:schemeClr>
              </a:solidFill>
              <a:miter lim="800000"/>
            </a:ln>
            <a:effectLst>
              <a:glow rad="63500">
                <a:schemeClr val="accent3">
                  <a:lumMod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Pivot'!$AH$7:$AH$17</c:f>
              <c:numCache>
                <c:formatCode>[$⃁-401]\ #,##0.00</c:formatCode>
                <c:ptCount val="10"/>
                <c:pt idx="0">
                  <c:v>1475297</c:v>
                </c:pt>
                <c:pt idx="1">
                  <c:v>1843320</c:v>
                </c:pt>
                <c:pt idx="2">
                  <c:v>1440420</c:v>
                </c:pt>
                <c:pt idx="3">
                  <c:v>1410468</c:v>
                </c:pt>
                <c:pt idx="4">
                  <c:v>1152750</c:v>
                </c:pt>
                <c:pt idx="5">
                  <c:v>1519037</c:v>
                </c:pt>
                <c:pt idx="6">
                  <c:v>1822722</c:v>
                </c:pt>
                <c:pt idx="7">
                  <c:v>1180500</c:v>
                </c:pt>
                <c:pt idx="8">
                  <c:v>2235970</c:v>
                </c:pt>
                <c:pt idx="9">
                  <c:v>1807820</c:v>
                </c:pt>
              </c:numCache>
            </c:numRef>
          </c:val>
          <c:extLst>
            <c:ext xmlns:c16="http://schemas.microsoft.com/office/drawing/2014/chart" uri="{C3380CC4-5D6E-409C-BE32-E72D297353CC}">
              <c16:uniqueId val="{000000B0-1481-4534-8058-A5BFE6A58FE5}"/>
            </c:ext>
          </c:extLst>
        </c:ser>
        <c:ser>
          <c:idx val="33"/>
          <c:order val="33"/>
          <c:tx>
            <c:strRef>
              <c:f>'Branch Pivot'!$AI$3:$AI$6</c:f>
              <c:strCache>
                <c:ptCount val="1"/>
                <c:pt idx="0">
                  <c:v>July - 2025 - Weight Sold (g)</c:v>
                </c:pt>
              </c:strCache>
            </c:strRef>
          </c:tx>
          <c:spPr>
            <a:noFill/>
            <a:ln w="9525" cap="flat" cmpd="sng" algn="ctr">
              <a:solidFill>
                <a:schemeClr val="accent4">
                  <a:lumMod val="50000"/>
                </a:schemeClr>
              </a:solidFill>
              <a:miter lim="800000"/>
            </a:ln>
            <a:effectLst>
              <a:glow rad="63500">
                <a:schemeClr val="accent4">
                  <a:lumMod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Pivot'!$AI$7:$AI$17</c:f>
              <c:numCache>
                <c:formatCode>0.00</c:formatCode>
                <c:ptCount val="10"/>
                <c:pt idx="0">
                  <c:v>3877.9599999999987</c:v>
                </c:pt>
                <c:pt idx="1">
                  <c:v>6694.5200000000041</c:v>
                </c:pt>
                <c:pt idx="2">
                  <c:v>4460.239999999998</c:v>
                </c:pt>
                <c:pt idx="3">
                  <c:v>3247.4999999999991</c:v>
                </c:pt>
                <c:pt idx="4">
                  <c:v>3939.9499999999994</c:v>
                </c:pt>
                <c:pt idx="5">
                  <c:v>3271.8899999999967</c:v>
                </c:pt>
                <c:pt idx="6">
                  <c:v>3916.5099999999961</c:v>
                </c:pt>
                <c:pt idx="7">
                  <c:v>2809.9999999999986</c:v>
                </c:pt>
                <c:pt idx="8">
                  <c:v>5860.3600000000015</c:v>
                </c:pt>
                <c:pt idx="9">
                  <c:v>4692.5899999999992</c:v>
                </c:pt>
              </c:numCache>
            </c:numRef>
          </c:val>
          <c:extLst>
            <c:ext xmlns:c16="http://schemas.microsoft.com/office/drawing/2014/chart" uri="{C3380CC4-5D6E-409C-BE32-E72D297353CC}">
              <c16:uniqueId val="{000000B1-1481-4534-8058-A5BFE6A58FE5}"/>
            </c:ext>
          </c:extLst>
        </c:ser>
        <c:ser>
          <c:idx val="34"/>
          <c:order val="34"/>
          <c:tx>
            <c:strRef>
              <c:f>'Branch Pivot'!$AJ$3:$AJ$6</c:f>
              <c:strCache>
                <c:ptCount val="1"/>
                <c:pt idx="0">
                  <c:v>July - 2025 - Transactions</c:v>
                </c:pt>
              </c:strCache>
            </c:strRef>
          </c:tx>
          <c:spPr>
            <a:noFill/>
            <a:ln w="9525" cap="flat" cmpd="sng" algn="ctr">
              <a:solidFill>
                <a:schemeClr val="accent5">
                  <a:lumMod val="50000"/>
                </a:schemeClr>
              </a:solidFill>
              <a:miter lim="800000"/>
            </a:ln>
            <a:effectLst>
              <a:glow rad="63500">
                <a:schemeClr val="accent5">
                  <a:lumMod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Pivot'!$AJ$7:$AJ$17</c:f>
              <c:numCache>
                <c:formatCode>General</c:formatCode>
                <c:ptCount val="10"/>
                <c:pt idx="0">
                  <c:v>289</c:v>
                </c:pt>
                <c:pt idx="1">
                  <c:v>380</c:v>
                </c:pt>
                <c:pt idx="2">
                  <c:v>275</c:v>
                </c:pt>
                <c:pt idx="3">
                  <c:v>264</c:v>
                </c:pt>
                <c:pt idx="4">
                  <c:v>210</c:v>
                </c:pt>
                <c:pt idx="5">
                  <c:v>470</c:v>
                </c:pt>
                <c:pt idx="6">
                  <c:v>359</c:v>
                </c:pt>
                <c:pt idx="7">
                  <c:v>275</c:v>
                </c:pt>
                <c:pt idx="8">
                  <c:v>247</c:v>
                </c:pt>
                <c:pt idx="9">
                  <c:v>311</c:v>
                </c:pt>
              </c:numCache>
            </c:numRef>
          </c:val>
          <c:extLst>
            <c:ext xmlns:c16="http://schemas.microsoft.com/office/drawing/2014/chart" uri="{C3380CC4-5D6E-409C-BE32-E72D297353CC}">
              <c16:uniqueId val="{000000B2-1481-4534-8058-A5BFE6A58FE5}"/>
            </c:ext>
          </c:extLst>
        </c:ser>
        <c:ser>
          <c:idx val="35"/>
          <c:order val="35"/>
          <c:tx>
            <c:strRef>
              <c:f>'Branch Pivot'!$AK$3:$AK$6</c:f>
              <c:strCache>
                <c:ptCount val="1"/>
                <c:pt idx="0">
                  <c:v>July - 2025 - Avg Transaction Value</c:v>
                </c:pt>
              </c:strCache>
            </c:strRef>
          </c:tx>
          <c:spPr>
            <a:noFill/>
            <a:ln w="9525" cap="flat" cmpd="sng" algn="ctr">
              <a:solidFill>
                <a:schemeClr val="accent6">
                  <a:lumMod val="50000"/>
                </a:schemeClr>
              </a:solidFill>
              <a:miter lim="800000"/>
            </a:ln>
            <a:effectLst>
              <a:glow rad="63500">
                <a:schemeClr val="accent6">
                  <a:lumMod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Pivot'!$AK$7:$AK$17</c:f>
              <c:numCache>
                <c:formatCode>0.00</c:formatCode>
                <c:ptCount val="10"/>
                <c:pt idx="0">
                  <c:v>5104.83</c:v>
                </c:pt>
                <c:pt idx="1">
                  <c:v>4850.84</c:v>
                </c:pt>
                <c:pt idx="2">
                  <c:v>5237.8900000000003</c:v>
                </c:pt>
                <c:pt idx="3">
                  <c:v>5342.68</c:v>
                </c:pt>
                <c:pt idx="4">
                  <c:v>5489.29</c:v>
                </c:pt>
                <c:pt idx="5">
                  <c:v>3231.99</c:v>
                </c:pt>
                <c:pt idx="6">
                  <c:v>5077.22</c:v>
                </c:pt>
                <c:pt idx="7">
                  <c:v>4292.7299999999996</c:v>
                </c:pt>
                <c:pt idx="8">
                  <c:v>9052.51</c:v>
                </c:pt>
                <c:pt idx="9">
                  <c:v>5812.93</c:v>
                </c:pt>
              </c:numCache>
            </c:numRef>
          </c:val>
          <c:extLst>
            <c:ext xmlns:c16="http://schemas.microsoft.com/office/drawing/2014/chart" uri="{C3380CC4-5D6E-409C-BE32-E72D297353CC}">
              <c16:uniqueId val="{000000B3-1481-4534-8058-A5BFE6A58FE5}"/>
            </c:ext>
          </c:extLst>
        </c:ser>
        <c:ser>
          <c:idx val="36"/>
          <c:order val="36"/>
          <c:tx>
            <c:strRef>
              <c:f>'Branch Pivot'!$AL$3:$AL$6</c:f>
              <c:strCache>
                <c:ptCount val="1"/>
                <c:pt idx="0">
                  <c:v>August - 2025 - Revenue (SAR)</c:v>
                </c:pt>
              </c:strCache>
            </c:strRef>
          </c:tx>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Pivot'!$AL$7:$AL$17</c:f>
              <c:numCache>
                <c:formatCode>[$⃁-401]\ #,##0.00</c:formatCode>
                <c:ptCount val="10"/>
                <c:pt idx="0">
                  <c:v>1388511</c:v>
                </c:pt>
                <c:pt idx="1">
                  <c:v>1778245</c:v>
                </c:pt>
                <c:pt idx="2">
                  <c:v>1793020</c:v>
                </c:pt>
                <c:pt idx="3">
                  <c:v>1303100</c:v>
                </c:pt>
                <c:pt idx="4">
                  <c:v>1252938</c:v>
                </c:pt>
                <c:pt idx="5">
                  <c:v>1658296</c:v>
                </c:pt>
                <c:pt idx="6">
                  <c:v>1484339</c:v>
                </c:pt>
                <c:pt idx="7">
                  <c:v>1362815</c:v>
                </c:pt>
                <c:pt idx="8">
                  <c:v>2900660</c:v>
                </c:pt>
                <c:pt idx="9">
                  <c:v>2010867</c:v>
                </c:pt>
              </c:numCache>
            </c:numRef>
          </c:val>
          <c:extLst>
            <c:ext xmlns:c16="http://schemas.microsoft.com/office/drawing/2014/chart" uri="{C3380CC4-5D6E-409C-BE32-E72D297353CC}">
              <c16:uniqueId val="{000000B4-1481-4534-8058-A5BFE6A58FE5}"/>
            </c:ext>
          </c:extLst>
        </c:ser>
        <c:ser>
          <c:idx val="37"/>
          <c:order val="37"/>
          <c:tx>
            <c:strRef>
              <c:f>'Branch Pivot'!$AM$3:$AM$6</c:f>
              <c:strCache>
                <c:ptCount val="1"/>
                <c:pt idx="0">
                  <c:v>August - 2025 - Weight Sold (g)</c:v>
                </c:pt>
              </c:strCache>
            </c:strRef>
          </c:tx>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Pivot'!$AM$7:$AM$17</c:f>
              <c:numCache>
                <c:formatCode>0.00</c:formatCode>
                <c:ptCount val="10"/>
                <c:pt idx="0">
                  <c:v>3414.5499999999984</c:v>
                </c:pt>
                <c:pt idx="1">
                  <c:v>4347.220000000003</c:v>
                </c:pt>
                <c:pt idx="2">
                  <c:v>4396.0899999999983</c:v>
                </c:pt>
                <c:pt idx="3">
                  <c:v>5927.0600000000022</c:v>
                </c:pt>
                <c:pt idx="4">
                  <c:v>3179.9799999999991</c:v>
                </c:pt>
                <c:pt idx="5">
                  <c:v>3527.6799999999976</c:v>
                </c:pt>
                <c:pt idx="6">
                  <c:v>6074.2999999999984</c:v>
                </c:pt>
                <c:pt idx="7">
                  <c:v>3181.3799999999983</c:v>
                </c:pt>
                <c:pt idx="8">
                  <c:v>8341.8199999999906</c:v>
                </c:pt>
                <c:pt idx="9">
                  <c:v>6938.0900000000011</c:v>
                </c:pt>
              </c:numCache>
            </c:numRef>
          </c:val>
          <c:extLst>
            <c:ext xmlns:c16="http://schemas.microsoft.com/office/drawing/2014/chart" uri="{C3380CC4-5D6E-409C-BE32-E72D297353CC}">
              <c16:uniqueId val="{000000B5-1481-4534-8058-A5BFE6A58FE5}"/>
            </c:ext>
          </c:extLst>
        </c:ser>
        <c:ser>
          <c:idx val="38"/>
          <c:order val="38"/>
          <c:tx>
            <c:strRef>
              <c:f>'Branch Pivot'!$AN$3:$AN$6</c:f>
              <c:strCache>
                <c:ptCount val="1"/>
                <c:pt idx="0">
                  <c:v>August - 2025 - Transactions</c:v>
                </c:pt>
              </c:strCache>
            </c:strRef>
          </c:tx>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Pivot'!$AN$7:$AN$17</c:f>
              <c:numCache>
                <c:formatCode>General</c:formatCode>
                <c:ptCount val="10"/>
                <c:pt idx="0">
                  <c:v>258</c:v>
                </c:pt>
                <c:pt idx="1">
                  <c:v>382</c:v>
                </c:pt>
                <c:pt idx="2">
                  <c:v>374</c:v>
                </c:pt>
                <c:pt idx="3">
                  <c:v>295</c:v>
                </c:pt>
                <c:pt idx="4">
                  <c:v>209</c:v>
                </c:pt>
                <c:pt idx="5">
                  <c:v>514</c:v>
                </c:pt>
                <c:pt idx="6">
                  <c:v>341</c:v>
                </c:pt>
                <c:pt idx="7">
                  <c:v>306</c:v>
                </c:pt>
                <c:pt idx="8">
                  <c:v>253</c:v>
                </c:pt>
                <c:pt idx="9">
                  <c:v>360</c:v>
                </c:pt>
              </c:numCache>
            </c:numRef>
          </c:val>
          <c:extLst>
            <c:ext xmlns:c16="http://schemas.microsoft.com/office/drawing/2014/chart" uri="{C3380CC4-5D6E-409C-BE32-E72D297353CC}">
              <c16:uniqueId val="{000000B6-1481-4534-8058-A5BFE6A58FE5}"/>
            </c:ext>
          </c:extLst>
        </c:ser>
        <c:ser>
          <c:idx val="39"/>
          <c:order val="39"/>
          <c:tx>
            <c:strRef>
              <c:f>'Branch Pivot'!$AO$3:$AO$6</c:f>
              <c:strCache>
                <c:ptCount val="1"/>
                <c:pt idx="0">
                  <c:v>August - 2025 - Avg Transaction Value</c:v>
                </c:pt>
              </c:strCache>
            </c:strRef>
          </c:tx>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Pivot'!$AO$7:$AO$17</c:f>
              <c:numCache>
                <c:formatCode>0.00</c:formatCode>
                <c:ptCount val="10"/>
                <c:pt idx="0">
                  <c:v>5381.83</c:v>
                </c:pt>
                <c:pt idx="1">
                  <c:v>4655.09</c:v>
                </c:pt>
                <c:pt idx="2">
                  <c:v>4794.17</c:v>
                </c:pt>
                <c:pt idx="3">
                  <c:v>4417.29</c:v>
                </c:pt>
                <c:pt idx="4">
                  <c:v>5994.92</c:v>
                </c:pt>
                <c:pt idx="5">
                  <c:v>3226.26</c:v>
                </c:pt>
                <c:pt idx="6">
                  <c:v>4352.8999999999996</c:v>
                </c:pt>
                <c:pt idx="7">
                  <c:v>4453.6400000000003</c:v>
                </c:pt>
                <c:pt idx="8">
                  <c:v>11465.06</c:v>
                </c:pt>
                <c:pt idx="9">
                  <c:v>5585.74</c:v>
                </c:pt>
              </c:numCache>
            </c:numRef>
          </c:val>
          <c:extLst>
            <c:ext xmlns:c16="http://schemas.microsoft.com/office/drawing/2014/chart" uri="{C3380CC4-5D6E-409C-BE32-E72D297353CC}">
              <c16:uniqueId val="{000000B7-1481-4534-8058-A5BFE6A58FE5}"/>
            </c:ext>
          </c:extLst>
        </c:ser>
        <c:ser>
          <c:idx val="40"/>
          <c:order val="40"/>
          <c:tx>
            <c:strRef>
              <c:f>'Branch Pivot'!$AP$3:$AP$6</c:f>
              <c:strCache>
                <c:ptCount val="1"/>
                <c:pt idx="0">
                  <c:v>September - 2025 - Revenue (SAR)</c:v>
                </c:pt>
              </c:strCache>
            </c:strRef>
          </c:tx>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Pivot'!$AP$7:$AP$17</c:f>
              <c:numCache>
                <c:formatCode>[$⃁-401]\ #,##0.00</c:formatCode>
                <c:ptCount val="10"/>
                <c:pt idx="0">
                  <c:v>2860385</c:v>
                </c:pt>
                <c:pt idx="1">
                  <c:v>2398340</c:v>
                </c:pt>
                <c:pt idx="2">
                  <c:v>1624852</c:v>
                </c:pt>
                <c:pt idx="3">
                  <c:v>1154971</c:v>
                </c:pt>
                <c:pt idx="4">
                  <c:v>1796990</c:v>
                </c:pt>
                <c:pt idx="5">
                  <c:v>2393485</c:v>
                </c:pt>
                <c:pt idx="6">
                  <c:v>2136445</c:v>
                </c:pt>
                <c:pt idx="7">
                  <c:v>1182282</c:v>
                </c:pt>
                <c:pt idx="8">
                  <c:v>2994530.8</c:v>
                </c:pt>
                <c:pt idx="9">
                  <c:v>2001533</c:v>
                </c:pt>
              </c:numCache>
            </c:numRef>
          </c:val>
          <c:extLst>
            <c:ext xmlns:c16="http://schemas.microsoft.com/office/drawing/2014/chart" uri="{C3380CC4-5D6E-409C-BE32-E72D297353CC}">
              <c16:uniqueId val="{000000B8-1481-4534-8058-A5BFE6A58FE5}"/>
            </c:ext>
          </c:extLst>
        </c:ser>
        <c:ser>
          <c:idx val="41"/>
          <c:order val="41"/>
          <c:tx>
            <c:strRef>
              <c:f>'Branch Pivot'!$AQ$3:$AQ$6</c:f>
              <c:strCache>
                <c:ptCount val="1"/>
                <c:pt idx="0">
                  <c:v>September - 2025 - Weight Sold (g)</c:v>
                </c:pt>
              </c:strCache>
            </c:strRef>
          </c:tx>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Pivot'!$AQ$7:$AQ$17</c:f>
              <c:numCache>
                <c:formatCode>0.00</c:formatCode>
                <c:ptCount val="10"/>
                <c:pt idx="0">
                  <c:v>6522.0499999999965</c:v>
                </c:pt>
                <c:pt idx="1">
                  <c:v>8357.2100000000028</c:v>
                </c:pt>
                <c:pt idx="2">
                  <c:v>3649.7900000000013</c:v>
                </c:pt>
                <c:pt idx="3">
                  <c:v>3444.3000000000011</c:v>
                </c:pt>
                <c:pt idx="4">
                  <c:v>7240.2900000000009</c:v>
                </c:pt>
                <c:pt idx="5">
                  <c:v>11057.010000000006</c:v>
                </c:pt>
                <c:pt idx="6">
                  <c:v>11253.429999999998</c:v>
                </c:pt>
                <c:pt idx="7">
                  <c:v>13035.720000000003</c:v>
                </c:pt>
                <c:pt idx="8">
                  <c:v>7991.6800000000085</c:v>
                </c:pt>
                <c:pt idx="9">
                  <c:v>5486.480000000005</c:v>
                </c:pt>
              </c:numCache>
            </c:numRef>
          </c:val>
          <c:extLst>
            <c:ext xmlns:c16="http://schemas.microsoft.com/office/drawing/2014/chart" uri="{C3380CC4-5D6E-409C-BE32-E72D297353CC}">
              <c16:uniqueId val="{000000B9-1481-4534-8058-A5BFE6A58FE5}"/>
            </c:ext>
          </c:extLst>
        </c:ser>
        <c:ser>
          <c:idx val="42"/>
          <c:order val="42"/>
          <c:tx>
            <c:strRef>
              <c:f>'Branch Pivot'!$AR$3:$AR$6</c:f>
              <c:strCache>
                <c:ptCount val="1"/>
                <c:pt idx="0">
                  <c:v>September - 2025 - Transactions</c:v>
                </c:pt>
              </c:strCache>
            </c:strRef>
          </c:tx>
          <c:spPr>
            <a:noFill/>
            <a:ln w="9525" cap="flat" cmpd="sng" algn="ctr">
              <a:solidFill>
                <a:schemeClr val="accent1">
                  <a:lumMod val="70000"/>
                </a:schemeClr>
              </a:solidFill>
              <a:miter lim="800000"/>
            </a:ln>
            <a:effectLst>
              <a:glow rad="63500">
                <a:schemeClr val="accent1">
                  <a:lumMod val="7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Pivot'!$AR$7:$AR$17</c:f>
              <c:numCache>
                <c:formatCode>General</c:formatCode>
                <c:ptCount val="10"/>
                <c:pt idx="0">
                  <c:v>324</c:v>
                </c:pt>
                <c:pt idx="1">
                  <c:v>406</c:v>
                </c:pt>
                <c:pt idx="2">
                  <c:v>322</c:v>
                </c:pt>
                <c:pt idx="3">
                  <c:v>275</c:v>
                </c:pt>
                <c:pt idx="4">
                  <c:v>270</c:v>
                </c:pt>
                <c:pt idx="5">
                  <c:v>650</c:v>
                </c:pt>
                <c:pt idx="6">
                  <c:v>371</c:v>
                </c:pt>
                <c:pt idx="7">
                  <c:v>310</c:v>
                </c:pt>
                <c:pt idx="8">
                  <c:v>370</c:v>
                </c:pt>
                <c:pt idx="9">
                  <c:v>361</c:v>
                </c:pt>
              </c:numCache>
            </c:numRef>
          </c:val>
          <c:extLst>
            <c:ext xmlns:c16="http://schemas.microsoft.com/office/drawing/2014/chart" uri="{C3380CC4-5D6E-409C-BE32-E72D297353CC}">
              <c16:uniqueId val="{000000BA-1481-4534-8058-A5BFE6A58FE5}"/>
            </c:ext>
          </c:extLst>
        </c:ser>
        <c:ser>
          <c:idx val="43"/>
          <c:order val="43"/>
          <c:tx>
            <c:strRef>
              <c:f>'Branch Pivot'!$AS$3:$AS$6</c:f>
              <c:strCache>
                <c:ptCount val="1"/>
                <c:pt idx="0">
                  <c:v>September - 2025 - Avg Transaction Value</c:v>
                </c:pt>
              </c:strCache>
            </c:strRef>
          </c:tx>
          <c:spPr>
            <a:noFill/>
            <a:ln w="9525" cap="flat" cmpd="sng" algn="ctr">
              <a:solidFill>
                <a:schemeClr val="accent2">
                  <a:lumMod val="70000"/>
                </a:schemeClr>
              </a:solidFill>
              <a:miter lim="800000"/>
            </a:ln>
            <a:effectLst>
              <a:glow rad="63500">
                <a:schemeClr val="accent2">
                  <a:lumMod val="7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Pivot'!$AS$7:$AS$17</c:f>
              <c:numCache>
                <c:formatCode>0.00</c:formatCode>
                <c:ptCount val="10"/>
                <c:pt idx="0">
                  <c:v>8828.35</c:v>
                </c:pt>
                <c:pt idx="1">
                  <c:v>5907.24</c:v>
                </c:pt>
                <c:pt idx="2">
                  <c:v>5046.12</c:v>
                </c:pt>
                <c:pt idx="3">
                  <c:v>4199.8900000000003</c:v>
                </c:pt>
                <c:pt idx="4">
                  <c:v>6655.52</c:v>
                </c:pt>
                <c:pt idx="5">
                  <c:v>3682.28</c:v>
                </c:pt>
                <c:pt idx="6">
                  <c:v>5758.61</c:v>
                </c:pt>
                <c:pt idx="7">
                  <c:v>3813.81</c:v>
                </c:pt>
                <c:pt idx="8">
                  <c:v>8093.33</c:v>
                </c:pt>
                <c:pt idx="9">
                  <c:v>5544.41</c:v>
                </c:pt>
              </c:numCache>
            </c:numRef>
          </c:val>
          <c:extLst>
            <c:ext xmlns:c16="http://schemas.microsoft.com/office/drawing/2014/chart" uri="{C3380CC4-5D6E-409C-BE32-E72D297353CC}">
              <c16:uniqueId val="{000000BB-1481-4534-8058-A5BFE6A58FE5}"/>
            </c:ext>
          </c:extLst>
        </c:ser>
        <c:ser>
          <c:idx val="44"/>
          <c:order val="44"/>
          <c:tx>
            <c:strRef>
              <c:f>'Branch Pivot'!$AT$3:$AT$6</c:f>
              <c:strCache>
                <c:ptCount val="1"/>
                <c:pt idx="0">
                  <c:v>October - 2025 - Revenue (SAR)</c:v>
                </c:pt>
              </c:strCache>
            </c:strRef>
          </c:tx>
          <c:spPr>
            <a:noFill/>
            <a:ln w="9525" cap="flat" cmpd="sng" algn="ctr">
              <a:solidFill>
                <a:schemeClr val="accent3">
                  <a:lumMod val="70000"/>
                </a:schemeClr>
              </a:solidFill>
              <a:miter lim="800000"/>
            </a:ln>
            <a:effectLst>
              <a:glow rad="63500">
                <a:schemeClr val="accent3">
                  <a:lumMod val="7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Pivot'!$AT$7:$AT$17</c:f>
              <c:numCache>
                <c:formatCode>[$⃁-401]\ #,##0.00</c:formatCode>
                <c:ptCount val="10"/>
                <c:pt idx="0">
                  <c:v>2793779.5</c:v>
                </c:pt>
                <c:pt idx="1">
                  <c:v>3729900</c:v>
                </c:pt>
                <c:pt idx="2">
                  <c:v>2225058</c:v>
                </c:pt>
                <c:pt idx="3">
                  <c:v>2794453</c:v>
                </c:pt>
                <c:pt idx="4">
                  <c:v>2118183</c:v>
                </c:pt>
                <c:pt idx="5">
                  <c:v>2764498</c:v>
                </c:pt>
                <c:pt idx="6">
                  <c:v>2691868</c:v>
                </c:pt>
                <c:pt idx="7">
                  <c:v>2071220</c:v>
                </c:pt>
                <c:pt idx="8">
                  <c:v>4902284</c:v>
                </c:pt>
                <c:pt idx="9">
                  <c:v>3081978</c:v>
                </c:pt>
              </c:numCache>
            </c:numRef>
          </c:val>
          <c:extLst>
            <c:ext xmlns:c16="http://schemas.microsoft.com/office/drawing/2014/chart" uri="{C3380CC4-5D6E-409C-BE32-E72D297353CC}">
              <c16:uniqueId val="{000000BC-1481-4534-8058-A5BFE6A58FE5}"/>
            </c:ext>
          </c:extLst>
        </c:ser>
        <c:ser>
          <c:idx val="45"/>
          <c:order val="45"/>
          <c:tx>
            <c:strRef>
              <c:f>'Branch Pivot'!$AU$3:$AU$6</c:f>
              <c:strCache>
                <c:ptCount val="1"/>
                <c:pt idx="0">
                  <c:v>October - 2025 - Weight Sold (g)</c:v>
                </c:pt>
              </c:strCache>
            </c:strRef>
          </c:tx>
          <c:spPr>
            <a:noFill/>
            <a:ln w="9525" cap="flat" cmpd="sng" algn="ctr">
              <a:solidFill>
                <a:schemeClr val="accent4">
                  <a:lumMod val="70000"/>
                </a:schemeClr>
              </a:solidFill>
              <a:miter lim="800000"/>
            </a:ln>
            <a:effectLst>
              <a:glow rad="63500">
                <a:schemeClr val="accent4">
                  <a:lumMod val="7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Pivot'!$AU$7:$AU$17</c:f>
              <c:numCache>
                <c:formatCode>0.00</c:formatCode>
                <c:ptCount val="10"/>
                <c:pt idx="0">
                  <c:v>44127.659999999989</c:v>
                </c:pt>
                <c:pt idx="1">
                  <c:v>23377.519999999997</c:v>
                </c:pt>
                <c:pt idx="2">
                  <c:v>9493.8200000000088</c:v>
                </c:pt>
                <c:pt idx="3">
                  <c:v>22027.139999999992</c:v>
                </c:pt>
                <c:pt idx="4">
                  <c:v>8294.4100000000089</c:v>
                </c:pt>
                <c:pt idx="5">
                  <c:v>7019.2499999999982</c:v>
                </c:pt>
                <c:pt idx="6">
                  <c:v>25439.449999999975</c:v>
                </c:pt>
                <c:pt idx="7">
                  <c:v>24812.380000000016</c:v>
                </c:pt>
                <c:pt idx="8">
                  <c:v>50366.540999999983</c:v>
                </c:pt>
                <c:pt idx="9">
                  <c:v>10263.260000000007</c:v>
                </c:pt>
              </c:numCache>
            </c:numRef>
          </c:val>
          <c:extLst>
            <c:ext xmlns:c16="http://schemas.microsoft.com/office/drawing/2014/chart" uri="{C3380CC4-5D6E-409C-BE32-E72D297353CC}">
              <c16:uniqueId val="{000000BD-1481-4534-8058-A5BFE6A58FE5}"/>
            </c:ext>
          </c:extLst>
        </c:ser>
        <c:ser>
          <c:idx val="46"/>
          <c:order val="46"/>
          <c:tx>
            <c:strRef>
              <c:f>'Branch Pivot'!$AV$3:$AV$6</c:f>
              <c:strCache>
                <c:ptCount val="1"/>
                <c:pt idx="0">
                  <c:v>October - 2025 - Transactions</c:v>
                </c:pt>
              </c:strCache>
            </c:strRef>
          </c:tx>
          <c:spPr>
            <a:noFill/>
            <a:ln w="9525" cap="flat" cmpd="sng" algn="ctr">
              <a:solidFill>
                <a:schemeClr val="accent5">
                  <a:lumMod val="70000"/>
                </a:schemeClr>
              </a:solidFill>
              <a:miter lim="800000"/>
            </a:ln>
            <a:effectLst>
              <a:glow rad="63500">
                <a:schemeClr val="accent5">
                  <a:lumMod val="7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Pivot'!$AV$7:$AV$17</c:f>
              <c:numCache>
                <c:formatCode>General</c:formatCode>
                <c:ptCount val="10"/>
                <c:pt idx="0">
                  <c:v>402</c:v>
                </c:pt>
                <c:pt idx="1">
                  <c:v>540</c:v>
                </c:pt>
                <c:pt idx="2">
                  <c:v>398</c:v>
                </c:pt>
                <c:pt idx="3">
                  <c:v>387</c:v>
                </c:pt>
                <c:pt idx="4">
                  <c:v>383</c:v>
                </c:pt>
                <c:pt idx="5">
                  <c:v>735</c:v>
                </c:pt>
                <c:pt idx="6">
                  <c:v>466</c:v>
                </c:pt>
                <c:pt idx="7">
                  <c:v>370</c:v>
                </c:pt>
                <c:pt idx="8">
                  <c:v>492</c:v>
                </c:pt>
                <c:pt idx="9">
                  <c:v>432</c:v>
                </c:pt>
              </c:numCache>
            </c:numRef>
          </c:val>
          <c:extLst>
            <c:ext xmlns:c16="http://schemas.microsoft.com/office/drawing/2014/chart" uri="{C3380CC4-5D6E-409C-BE32-E72D297353CC}">
              <c16:uniqueId val="{000000BE-1481-4534-8058-A5BFE6A58FE5}"/>
            </c:ext>
          </c:extLst>
        </c:ser>
        <c:ser>
          <c:idx val="47"/>
          <c:order val="47"/>
          <c:tx>
            <c:strRef>
              <c:f>'Branch Pivot'!$AW$3:$AW$6</c:f>
              <c:strCache>
                <c:ptCount val="1"/>
                <c:pt idx="0">
                  <c:v>October - 2025 - Avg Transaction Value</c:v>
                </c:pt>
              </c:strCache>
            </c:strRef>
          </c:tx>
          <c:spPr>
            <a:noFill/>
            <a:ln w="9525" cap="flat" cmpd="sng" algn="ctr">
              <a:solidFill>
                <a:schemeClr val="accent6">
                  <a:lumMod val="70000"/>
                </a:schemeClr>
              </a:solidFill>
              <a:miter lim="800000"/>
            </a:ln>
            <a:effectLst>
              <a:glow rad="63500">
                <a:schemeClr val="accent6">
                  <a:lumMod val="7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Pivot'!$AW$7:$AW$17</c:f>
              <c:numCache>
                <c:formatCode>0.00</c:formatCode>
                <c:ptCount val="10"/>
                <c:pt idx="0">
                  <c:v>6949.7</c:v>
                </c:pt>
                <c:pt idx="1">
                  <c:v>6907.22</c:v>
                </c:pt>
                <c:pt idx="2">
                  <c:v>5590.6</c:v>
                </c:pt>
                <c:pt idx="3">
                  <c:v>7220.81</c:v>
                </c:pt>
                <c:pt idx="4">
                  <c:v>5530.5</c:v>
                </c:pt>
                <c:pt idx="5">
                  <c:v>3761.22</c:v>
                </c:pt>
                <c:pt idx="6">
                  <c:v>5776.54</c:v>
                </c:pt>
                <c:pt idx="7">
                  <c:v>5597.89</c:v>
                </c:pt>
                <c:pt idx="8">
                  <c:v>9963.99</c:v>
                </c:pt>
                <c:pt idx="9">
                  <c:v>7134.21</c:v>
                </c:pt>
              </c:numCache>
            </c:numRef>
          </c:val>
          <c:extLst>
            <c:ext xmlns:c16="http://schemas.microsoft.com/office/drawing/2014/chart" uri="{C3380CC4-5D6E-409C-BE32-E72D297353CC}">
              <c16:uniqueId val="{000000BF-1481-4534-8058-A5BFE6A58FE5}"/>
            </c:ext>
          </c:extLst>
        </c:ser>
        <c:ser>
          <c:idx val="48"/>
          <c:order val="48"/>
          <c:tx>
            <c:strRef>
              <c:f>'Branch Pivot'!$AX$3:$AX$6</c:f>
              <c:strCache>
                <c:ptCount val="1"/>
                <c:pt idx="0">
                  <c:v>November - 2025 - Revenue (SAR)</c:v>
                </c:pt>
              </c:strCache>
            </c:strRef>
          </c:tx>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Pivot'!$AX$7:$AX$17</c:f>
              <c:numCache>
                <c:formatCode>[$⃁-401]\ #,##0.00</c:formatCode>
                <c:ptCount val="10"/>
                <c:pt idx="0">
                  <c:v>1253686.05</c:v>
                </c:pt>
                <c:pt idx="1">
                  <c:v>2022695</c:v>
                </c:pt>
                <c:pt idx="2">
                  <c:v>1228540</c:v>
                </c:pt>
                <c:pt idx="3">
                  <c:v>1503965</c:v>
                </c:pt>
                <c:pt idx="4">
                  <c:v>1038682</c:v>
                </c:pt>
                <c:pt idx="5">
                  <c:v>1909045</c:v>
                </c:pt>
                <c:pt idx="6">
                  <c:v>2289656</c:v>
                </c:pt>
                <c:pt idx="7">
                  <c:v>1368375</c:v>
                </c:pt>
                <c:pt idx="8">
                  <c:v>1681494</c:v>
                </c:pt>
                <c:pt idx="9">
                  <c:v>1664317</c:v>
                </c:pt>
              </c:numCache>
            </c:numRef>
          </c:val>
          <c:extLst>
            <c:ext xmlns:c16="http://schemas.microsoft.com/office/drawing/2014/chart" uri="{C3380CC4-5D6E-409C-BE32-E72D297353CC}">
              <c16:uniqueId val="{000000C0-1481-4534-8058-A5BFE6A58FE5}"/>
            </c:ext>
          </c:extLst>
        </c:ser>
        <c:ser>
          <c:idx val="49"/>
          <c:order val="49"/>
          <c:tx>
            <c:strRef>
              <c:f>'Branch Pivot'!$AY$3:$AY$6</c:f>
              <c:strCache>
                <c:ptCount val="1"/>
                <c:pt idx="0">
                  <c:v>November - 2025 - Weight Sold (g)</c:v>
                </c:pt>
              </c:strCache>
            </c:strRef>
          </c:tx>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Pivot'!$AY$7:$AY$17</c:f>
              <c:numCache>
                <c:formatCode>0.00</c:formatCode>
                <c:ptCount val="10"/>
                <c:pt idx="0">
                  <c:v>2527.2899999999995</c:v>
                </c:pt>
                <c:pt idx="1">
                  <c:v>6282.5599999999995</c:v>
                </c:pt>
                <c:pt idx="2">
                  <c:v>2511.3999999999987</c:v>
                </c:pt>
                <c:pt idx="3">
                  <c:v>3882.9600000000005</c:v>
                </c:pt>
                <c:pt idx="4">
                  <c:v>2107.8789999999981</c:v>
                </c:pt>
                <c:pt idx="5">
                  <c:v>3423.3800000000028</c:v>
                </c:pt>
                <c:pt idx="6">
                  <c:v>9953.0530000000072</c:v>
                </c:pt>
                <c:pt idx="7">
                  <c:v>18340.699999999997</c:v>
                </c:pt>
                <c:pt idx="8">
                  <c:v>7355.1850000000095</c:v>
                </c:pt>
                <c:pt idx="9">
                  <c:v>4508.239999999998</c:v>
                </c:pt>
              </c:numCache>
            </c:numRef>
          </c:val>
          <c:extLst>
            <c:ext xmlns:c16="http://schemas.microsoft.com/office/drawing/2014/chart" uri="{C3380CC4-5D6E-409C-BE32-E72D297353CC}">
              <c16:uniqueId val="{000000C1-1481-4534-8058-A5BFE6A58FE5}"/>
            </c:ext>
          </c:extLst>
        </c:ser>
        <c:ser>
          <c:idx val="50"/>
          <c:order val="50"/>
          <c:tx>
            <c:strRef>
              <c:f>'Branch Pivot'!$AZ$3:$AZ$6</c:f>
              <c:strCache>
                <c:ptCount val="1"/>
                <c:pt idx="0">
                  <c:v>November - 2025 - Transactions</c:v>
                </c:pt>
              </c:strCache>
            </c:strRef>
          </c:tx>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Pivot'!$AZ$7:$AZ$17</c:f>
              <c:numCache>
                <c:formatCode>General</c:formatCode>
                <c:ptCount val="10"/>
                <c:pt idx="0">
                  <c:v>239</c:v>
                </c:pt>
                <c:pt idx="1">
                  <c:v>352</c:v>
                </c:pt>
                <c:pt idx="2">
                  <c:v>277</c:v>
                </c:pt>
                <c:pt idx="3">
                  <c:v>299</c:v>
                </c:pt>
                <c:pt idx="4">
                  <c:v>240</c:v>
                </c:pt>
                <c:pt idx="5">
                  <c:v>506</c:v>
                </c:pt>
                <c:pt idx="6">
                  <c:v>405</c:v>
                </c:pt>
                <c:pt idx="7">
                  <c:v>309</c:v>
                </c:pt>
                <c:pt idx="8">
                  <c:v>310</c:v>
                </c:pt>
                <c:pt idx="9">
                  <c:v>300</c:v>
                </c:pt>
              </c:numCache>
            </c:numRef>
          </c:val>
          <c:extLst>
            <c:ext xmlns:c16="http://schemas.microsoft.com/office/drawing/2014/chart" uri="{C3380CC4-5D6E-409C-BE32-E72D297353CC}">
              <c16:uniqueId val="{000000C2-1481-4534-8058-A5BFE6A58FE5}"/>
            </c:ext>
          </c:extLst>
        </c:ser>
        <c:ser>
          <c:idx val="51"/>
          <c:order val="51"/>
          <c:tx>
            <c:strRef>
              <c:f>'Branch Pivot'!$BA$3:$BA$6</c:f>
              <c:strCache>
                <c:ptCount val="1"/>
                <c:pt idx="0">
                  <c:v>November - 2025 - Avg Transaction Value</c:v>
                </c:pt>
              </c:strCache>
            </c:strRef>
          </c:tx>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Pivot'!$BA$7:$BA$17</c:f>
              <c:numCache>
                <c:formatCode>0.00</c:formatCode>
                <c:ptCount val="10"/>
                <c:pt idx="0">
                  <c:v>5245.55</c:v>
                </c:pt>
                <c:pt idx="1">
                  <c:v>5746.29</c:v>
                </c:pt>
                <c:pt idx="2">
                  <c:v>4435.16</c:v>
                </c:pt>
                <c:pt idx="3">
                  <c:v>5029.9799999999996</c:v>
                </c:pt>
                <c:pt idx="4">
                  <c:v>4327.84</c:v>
                </c:pt>
                <c:pt idx="5">
                  <c:v>3772.82</c:v>
                </c:pt>
                <c:pt idx="6">
                  <c:v>5653.47</c:v>
                </c:pt>
                <c:pt idx="7">
                  <c:v>4428.3999999999996</c:v>
                </c:pt>
                <c:pt idx="8">
                  <c:v>5424.17</c:v>
                </c:pt>
                <c:pt idx="9">
                  <c:v>5547.72</c:v>
                </c:pt>
              </c:numCache>
            </c:numRef>
          </c:val>
          <c:extLst>
            <c:ext xmlns:c16="http://schemas.microsoft.com/office/drawing/2014/chart" uri="{C3380CC4-5D6E-409C-BE32-E72D297353CC}">
              <c16:uniqueId val="{000000C3-1481-4534-8058-A5BFE6A58FE5}"/>
            </c:ext>
          </c:extLst>
        </c:ser>
        <c:ser>
          <c:idx val="52"/>
          <c:order val="52"/>
          <c:tx>
            <c:strRef>
              <c:f>'Branch Pivot'!$BB$3:$BB$6</c:f>
              <c:strCache>
                <c:ptCount val="1"/>
                <c:pt idx="0">
                  <c:v>December - 2025 - Revenue (SAR)</c:v>
                </c:pt>
              </c:strCache>
            </c:strRef>
          </c:tx>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Pivot'!$BB$7:$BB$17</c:f>
              <c:numCache>
                <c:formatCode>[$⃁-401]\ #,##0.00</c:formatCode>
                <c:ptCount val="10"/>
                <c:pt idx="0">
                  <c:v>1641887</c:v>
                </c:pt>
                <c:pt idx="1">
                  <c:v>2188330</c:v>
                </c:pt>
                <c:pt idx="2">
                  <c:v>2229975</c:v>
                </c:pt>
                <c:pt idx="3">
                  <c:v>2190271</c:v>
                </c:pt>
                <c:pt idx="4">
                  <c:v>1301523</c:v>
                </c:pt>
                <c:pt idx="5">
                  <c:v>2175756.5</c:v>
                </c:pt>
                <c:pt idx="6">
                  <c:v>2335362</c:v>
                </c:pt>
                <c:pt idx="7">
                  <c:v>1868895</c:v>
                </c:pt>
                <c:pt idx="8">
                  <c:v>2524278</c:v>
                </c:pt>
                <c:pt idx="9">
                  <c:v>1774468</c:v>
                </c:pt>
              </c:numCache>
            </c:numRef>
          </c:val>
          <c:extLst>
            <c:ext xmlns:c16="http://schemas.microsoft.com/office/drawing/2014/chart" uri="{C3380CC4-5D6E-409C-BE32-E72D297353CC}">
              <c16:uniqueId val="{000000C4-1481-4534-8058-A5BFE6A58FE5}"/>
            </c:ext>
          </c:extLst>
        </c:ser>
        <c:ser>
          <c:idx val="53"/>
          <c:order val="53"/>
          <c:tx>
            <c:strRef>
              <c:f>'Branch Pivot'!$BC$3:$BC$6</c:f>
              <c:strCache>
                <c:ptCount val="1"/>
                <c:pt idx="0">
                  <c:v>December - 2025 - Weight Sold (g)</c:v>
                </c:pt>
              </c:strCache>
            </c:strRef>
          </c:tx>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Pivot'!$BC$7:$BC$17</c:f>
              <c:numCache>
                <c:formatCode>0.00</c:formatCode>
                <c:ptCount val="10"/>
                <c:pt idx="0">
                  <c:v>5116.6299999999992</c:v>
                </c:pt>
                <c:pt idx="1">
                  <c:v>8125.0500000000029</c:v>
                </c:pt>
                <c:pt idx="2">
                  <c:v>5267.37</c:v>
                </c:pt>
                <c:pt idx="3">
                  <c:v>13209.18</c:v>
                </c:pt>
                <c:pt idx="4">
                  <c:v>8852.9499999999971</c:v>
                </c:pt>
                <c:pt idx="5">
                  <c:v>3746.8589999999995</c:v>
                </c:pt>
                <c:pt idx="6">
                  <c:v>28427.726999999999</c:v>
                </c:pt>
                <c:pt idx="7">
                  <c:v>38391.219999999987</c:v>
                </c:pt>
                <c:pt idx="8">
                  <c:v>25016.399999999998</c:v>
                </c:pt>
                <c:pt idx="9">
                  <c:v>11204.5</c:v>
                </c:pt>
              </c:numCache>
            </c:numRef>
          </c:val>
          <c:extLst>
            <c:ext xmlns:c16="http://schemas.microsoft.com/office/drawing/2014/chart" uri="{C3380CC4-5D6E-409C-BE32-E72D297353CC}">
              <c16:uniqueId val="{000000C5-1481-4534-8058-A5BFE6A58FE5}"/>
            </c:ext>
          </c:extLst>
        </c:ser>
        <c:ser>
          <c:idx val="54"/>
          <c:order val="54"/>
          <c:tx>
            <c:strRef>
              <c:f>'Branch Pivot'!$BD$3:$BD$6</c:f>
              <c:strCache>
                <c:ptCount val="1"/>
                <c:pt idx="0">
                  <c:v>December - 2025 - Transactions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Pivot'!$BD$7:$BD$17</c:f>
              <c:numCache>
                <c:formatCode>General</c:formatCode>
                <c:ptCount val="10"/>
                <c:pt idx="0">
                  <c:v>288</c:v>
                </c:pt>
                <c:pt idx="1">
                  <c:v>344</c:v>
                </c:pt>
                <c:pt idx="2">
                  <c:v>377</c:v>
                </c:pt>
                <c:pt idx="3">
                  <c:v>361</c:v>
                </c:pt>
                <c:pt idx="4">
                  <c:v>222</c:v>
                </c:pt>
                <c:pt idx="5">
                  <c:v>553</c:v>
                </c:pt>
                <c:pt idx="6">
                  <c:v>392</c:v>
                </c:pt>
                <c:pt idx="7">
                  <c:v>385</c:v>
                </c:pt>
                <c:pt idx="8">
                  <c:v>396</c:v>
                </c:pt>
                <c:pt idx="9">
                  <c:v>328</c:v>
                </c:pt>
              </c:numCache>
            </c:numRef>
          </c:val>
          <c:extLst>
            <c:ext xmlns:c16="http://schemas.microsoft.com/office/drawing/2014/chart" uri="{C3380CC4-5D6E-409C-BE32-E72D297353CC}">
              <c16:uniqueId val="{000000C6-1481-4534-8058-A5BFE6A58FE5}"/>
            </c:ext>
          </c:extLst>
        </c:ser>
        <c:ser>
          <c:idx val="55"/>
          <c:order val="55"/>
          <c:tx>
            <c:strRef>
              <c:f>'Branch Pivot'!$BE$3:$BE$6</c:f>
              <c:strCache>
                <c:ptCount val="1"/>
                <c:pt idx="0">
                  <c:v>December - 2025 - Avg Transaction Value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Pivot'!$BE$7:$BE$17</c:f>
              <c:numCache>
                <c:formatCode>0.00</c:formatCode>
                <c:ptCount val="10"/>
                <c:pt idx="0">
                  <c:v>5701</c:v>
                </c:pt>
                <c:pt idx="1">
                  <c:v>6361.42</c:v>
                </c:pt>
                <c:pt idx="2">
                  <c:v>5915.05</c:v>
                </c:pt>
                <c:pt idx="3">
                  <c:v>6067.23</c:v>
                </c:pt>
                <c:pt idx="4">
                  <c:v>5862.72</c:v>
                </c:pt>
                <c:pt idx="5">
                  <c:v>3934.46</c:v>
                </c:pt>
                <c:pt idx="6">
                  <c:v>5957.56</c:v>
                </c:pt>
                <c:pt idx="7">
                  <c:v>4854.2700000000004</c:v>
                </c:pt>
                <c:pt idx="8">
                  <c:v>6374.44</c:v>
                </c:pt>
                <c:pt idx="9">
                  <c:v>5409.96</c:v>
                </c:pt>
              </c:numCache>
            </c:numRef>
          </c:val>
          <c:extLst>
            <c:ext xmlns:c16="http://schemas.microsoft.com/office/drawing/2014/chart" uri="{C3380CC4-5D6E-409C-BE32-E72D297353CC}">
              <c16:uniqueId val="{000000C7-1481-4534-8058-A5BFE6A58FE5}"/>
            </c:ext>
          </c:extLst>
        </c:ser>
        <c:dLbls>
          <c:showLegendKey val="0"/>
          <c:showVal val="0"/>
          <c:showCatName val="0"/>
          <c:showSerName val="0"/>
          <c:showPercent val="0"/>
          <c:showBubbleSize val="0"/>
        </c:dLbls>
        <c:gapWidth val="182"/>
        <c:overlap val="-50"/>
        <c:axId val="1143888432"/>
        <c:axId val="1143890096"/>
      </c:barChart>
      <c:catAx>
        <c:axId val="1143888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3890096"/>
        <c:crosses val="autoZero"/>
        <c:auto val="1"/>
        <c:lblAlgn val="ctr"/>
        <c:lblOffset val="100"/>
        <c:noMultiLvlLbl val="0"/>
      </c:catAx>
      <c:valAx>
        <c:axId val="1143890096"/>
        <c:scaling>
          <c:orientation val="minMax"/>
        </c:scaling>
        <c:delete val="0"/>
        <c:axPos val="b"/>
        <c:numFmt formatCode="[$⃁-401]\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388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1 - Branch Revenue.xlsx]Sheet5!PivotTable2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2225" cap="rnd">
            <a:solidFill>
              <a:schemeClr val="accent1"/>
            </a:solidFill>
          </a:ln>
          <a:effectLst>
            <a:glow rad="139700">
              <a:schemeClr val="accent1">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2225" cap="rnd">
            <a:solidFill>
              <a:schemeClr val="accent1"/>
            </a:solidFill>
          </a:ln>
          <a:effectLst>
            <a:glow rad="139700">
              <a:schemeClr val="accent1">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2225" cap="rnd">
            <a:solidFill>
              <a:schemeClr val="accent1"/>
            </a:solidFill>
          </a:ln>
          <a:effectLst>
            <a:glow rad="139700">
              <a:schemeClr val="accent1">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2225" cap="rnd">
            <a:solidFill>
              <a:schemeClr val="accent1"/>
            </a:solidFill>
          </a:ln>
          <a:effectLst>
            <a:glow rad="139700">
              <a:schemeClr val="accent1">
                <a:satMod val="175000"/>
                <a:alpha val="14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Sheet5!$B$3:$B$4</c:f>
              <c:strCache>
                <c:ptCount val="1"/>
                <c:pt idx="0">
                  <c:v>Branch 01</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Sheet5!$B$5:$B$17</c:f>
              <c:numCache>
                <c:formatCode>General</c:formatCode>
                <c:ptCount val="12"/>
                <c:pt idx="0">
                  <c:v>7523351</c:v>
                </c:pt>
                <c:pt idx="1">
                  <c:v>3179702.7</c:v>
                </c:pt>
                <c:pt idx="3">
                  <c:v>3577391</c:v>
                </c:pt>
                <c:pt idx="4">
                  <c:v>4423701</c:v>
                </c:pt>
                <c:pt idx="5">
                  <c:v>2773682</c:v>
                </c:pt>
                <c:pt idx="6">
                  <c:v>1807820</c:v>
                </c:pt>
                <c:pt idx="7">
                  <c:v>2010867</c:v>
                </c:pt>
                <c:pt idx="8">
                  <c:v>2001533</c:v>
                </c:pt>
                <c:pt idx="9">
                  <c:v>3081978</c:v>
                </c:pt>
                <c:pt idx="10">
                  <c:v>1664317</c:v>
                </c:pt>
                <c:pt idx="11">
                  <c:v>1774468</c:v>
                </c:pt>
              </c:numCache>
            </c:numRef>
          </c:val>
          <c:smooth val="0"/>
          <c:extLst>
            <c:ext xmlns:c16="http://schemas.microsoft.com/office/drawing/2014/chart" uri="{C3380CC4-5D6E-409C-BE32-E72D297353CC}">
              <c16:uniqueId val="{00000000-B45C-41CD-B464-65702E289EFB}"/>
            </c:ext>
          </c:extLst>
        </c:ser>
        <c:ser>
          <c:idx val="1"/>
          <c:order val="1"/>
          <c:tx>
            <c:strRef>
              <c:f>Sheet5!$C$3:$C$4</c:f>
              <c:strCache>
                <c:ptCount val="1"/>
                <c:pt idx="0">
                  <c:v>Branch 02</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Sheet5!$C$5:$C$17</c:f>
              <c:numCache>
                <c:formatCode>General</c:formatCode>
                <c:ptCount val="12"/>
                <c:pt idx="0">
                  <c:v>2073464.94</c:v>
                </c:pt>
                <c:pt idx="1">
                  <c:v>2962986</c:v>
                </c:pt>
                <c:pt idx="2">
                  <c:v>2647159</c:v>
                </c:pt>
                <c:pt idx="3">
                  <c:v>3630299</c:v>
                </c:pt>
                <c:pt idx="4">
                  <c:v>4849024</c:v>
                </c:pt>
                <c:pt idx="5">
                  <c:v>2438467</c:v>
                </c:pt>
                <c:pt idx="6">
                  <c:v>2235970</c:v>
                </c:pt>
                <c:pt idx="7">
                  <c:v>2900660</c:v>
                </c:pt>
                <c:pt idx="8">
                  <c:v>2994530.8</c:v>
                </c:pt>
                <c:pt idx="9">
                  <c:v>4902284</c:v>
                </c:pt>
                <c:pt idx="10">
                  <c:v>1681494</c:v>
                </c:pt>
                <c:pt idx="11">
                  <c:v>2524278</c:v>
                </c:pt>
              </c:numCache>
            </c:numRef>
          </c:val>
          <c:smooth val="0"/>
          <c:extLst>
            <c:ext xmlns:c16="http://schemas.microsoft.com/office/drawing/2014/chart" uri="{C3380CC4-5D6E-409C-BE32-E72D297353CC}">
              <c16:uniqueId val="{00000011-1D62-47E3-A75E-D28D6EFEBABE}"/>
            </c:ext>
          </c:extLst>
        </c:ser>
        <c:ser>
          <c:idx val="2"/>
          <c:order val="2"/>
          <c:tx>
            <c:strRef>
              <c:f>Sheet5!$D$3:$D$4</c:f>
              <c:strCache>
                <c:ptCount val="1"/>
                <c:pt idx="0">
                  <c:v>Branch 03</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Sheet5!$D$5:$D$17</c:f>
              <c:numCache>
                <c:formatCode>General</c:formatCode>
                <c:ptCount val="12"/>
                <c:pt idx="0">
                  <c:v>5487968.7999999998</c:v>
                </c:pt>
                <c:pt idx="1">
                  <c:v>1735685</c:v>
                </c:pt>
                <c:pt idx="6">
                  <c:v>1141560</c:v>
                </c:pt>
                <c:pt idx="7">
                  <c:v>1194812</c:v>
                </c:pt>
                <c:pt idx="8">
                  <c:v>2213860.5</c:v>
                </c:pt>
                <c:pt idx="9">
                  <c:v>3357326.25</c:v>
                </c:pt>
                <c:pt idx="10">
                  <c:v>2509419</c:v>
                </c:pt>
                <c:pt idx="11">
                  <c:v>2286757.5</c:v>
                </c:pt>
              </c:numCache>
            </c:numRef>
          </c:val>
          <c:smooth val="0"/>
          <c:extLst>
            <c:ext xmlns:c16="http://schemas.microsoft.com/office/drawing/2014/chart" uri="{C3380CC4-5D6E-409C-BE32-E72D297353CC}">
              <c16:uniqueId val="{00000012-1D62-47E3-A75E-D28D6EFEBABE}"/>
            </c:ext>
          </c:extLst>
        </c:ser>
        <c:ser>
          <c:idx val="3"/>
          <c:order val="3"/>
          <c:tx>
            <c:strRef>
              <c:f>Sheet5!$E$3:$E$4</c:f>
              <c:strCache>
                <c:ptCount val="1"/>
                <c:pt idx="0">
                  <c:v>Branch 04</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Sheet5!$E$5:$E$17</c:f>
              <c:numCache>
                <c:formatCode>General</c:formatCode>
                <c:ptCount val="12"/>
                <c:pt idx="0">
                  <c:v>1611460</c:v>
                </c:pt>
                <c:pt idx="1">
                  <c:v>2465753</c:v>
                </c:pt>
                <c:pt idx="2">
                  <c:v>527860</c:v>
                </c:pt>
              </c:numCache>
            </c:numRef>
          </c:val>
          <c:smooth val="0"/>
          <c:extLst>
            <c:ext xmlns:c16="http://schemas.microsoft.com/office/drawing/2014/chart" uri="{C3380CC4-5D6E-409C-BE32-E72D297353CC}">
              <c16:uniqueId val="{00000013-1D62-47E3-A75E-D28D6EFEBABE}"/>
            </c:ext>
          </c:extLst>
        </c:ser>
        <c:ser>
          <c:idx val="4"/>
          <c:order val="4"/>
          <c:tx>
            <c:strRef>
              <c:f>Sheet5!$F$3:$F$4</c:f>
              <c:strCache>
                <c:ptCount val="1"/>
                <c:pt idx="0">
                  <c:v>Branch 05</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Sheet5!$F$5:$F$17</c:f>
              <c:numCache>
                <c:formatCode>General</c:formatCode>
                <c:ptCount val="12"/>
                <c:pt idx="0">
                  <c:v>5080124.99</c:v>
                </c:pt>
                <c:pt idx="1">
                  <c:v>1859820</c:v>
                </c:pt>
                <c:pt idx="2">
                  <c:v>2076905</c:v>
                </c:pt>
                <c:pt idx="3">
                  <c:v>2286780</c:v>
                </c:pt>
                <c:pt idx="4">
                  <c:v>2165195</c:v>
                </c:pt>
                <c:pt idx="5">
                  <c:v>1550850</c:v>
                </c:pt>
                <c:pt idx="6">
                  <c:v>1180500</c:v>
                </c:pt>
                <c:pt idx="7">
                  <c:v>1362815</c:v>
                </c:pt>
                <c:pt idx="8">
                  <c:v>1182282</c:v>
                </c:pt>
                <c:pt idx="9">
                  <c:v>2071220</c:v>
                </c:pt>
                <c:pt idx="10">
                  <c:v>1368375</c:v>
                </c:pt>
                <c:pt idx="11">
                  <c:v>1868895</c:v>
                </c:pt>
              </c:numCache>
            </c:numRef>
          </c:val>
          <c:smooth val="0"/>
          <c:extLst>
            <c:ext xmlns:c16="http://schemas.microsoft.com/office/drawing/2014/chart" uri="{C3380CC4-5D6E-409C-BE32-E72D297353CC}">
              <c16:uniqueId val="{00000014-1D62-47E3-A75E-D28D6EFEBABE}"/>
            </c:ext>
          </c:extLst>
        </c:ser>
        <c:ser>
          <c:idx val="5"/>
          <c:order val="5"/>
          <c:tx>
            <c:strRef>
              <c:f>Sheet5!$G$3:$G$4</c:f>
              <c:strCache>
                <c:ptCount val="1"/>
                <c:pt idx="0">
                  <c:v>Branch 06</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Sheet5!$G$5:$G$17</c:f>
              <c:numCache>
                <c:formatCode>General</c:formatCode>
                <c:ptCount val="12"/>
                <c:pt idx="0">
                  <c:v>895695</c:v>
                </c:pt>
                <c:pt idx="1">
                  <c:v>1470844</c:v>
                </c:pt>
                <c:pt idx="2">
                  <c:v>276165</c:v>
                </c:pt>
              </c:numCache>
            </c:numRef>
          </c:val>
          <c:smooth val="0"/>
          <c:extLst>
            <c:ext xmlns:c16="http://schemas.microsoft.com/office/drawing/2014/chart" uri="{C3380CC4-5D6E-409C-BE32-E72D297353CC}">
              <c16:uniqueId val="{00000015-1D62-47E3-A75E-D28D6EFEBABE}"/>
            </c:ext>
          </c:extLst>
        </c:ser>
        <c:ser>
          <c:idx val="6"/>
          <c:order val="6"/>
          <c:tx>
            <c:strRef>
              <c:f>Sheet5!$H$3:$H$4</c:f>
              <c:strCache>
                <c:ptCount val="1"/>
                <c:pt idx="0">
                  <c:v>Branch 07</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Sheet5!$H$5:$H$17</c:f>
              <c:numCache>
                <c:formatCode>General</c:formatCode>
                <c:ptCount val="12"/>
                <c:pt idx="0">
                  <c:v>4827256</c:v>
                </c:pt>
                <c:pt idx="1">
                  <c:v>2129180</c:v>
                </c:pt>
                <c:pt idx="2">
                  <c:v>2187325</c:v>
                </c:pt>
                <c:pt idx="3">
                  <c:v>2379143</c:v>
                </c:pt>
                <c:pt idx="4">
                  <c:v>2361365</c:v>
                </c:pt>
                <c:pt idx="5">
                  <c:v>1704910</c:v>
                </c:pt>
                <c:pt idx="6">
                  <c:v>1822722</c:v>
                </c:pt>
                <c:pt idx="7">
                  <c:v>1484339</c:v>
                </c:pt>
                <c:pt idx="8">
                  <c:v>2136445</c:v>
                </c:pt>
                <c:pt idx="9">
                  <c:v>2691868</c:v>
                </c:pt>
                <c:pt idx="10">
                  <c:v>2289656</c:v>
                </c:pt>
                <c:pt idx="11">
                  <c:v>2335362</c:v>
                </c:pt>
              </c:numCache>
            </c:numRef>
          </c:val>
          <c:smooth val="0"/>
          <c:extLst>
            <c:ext xmlns:c16="http://schemas.microsoft.com/office/drawing/2014/chart" uri="{C3380CC4-5D6E-409C-BE32-E72D297353CC}">
              <c16:uniqueId val="{00000016-1D62-47E3-A75E-D28D6EFEBABE}"/>
            </c:ext>
          </c:extLst>
        </c:ser>
        <c:ser>
          <c:idx val="7"/>
          <c:order val="7"/>
          <c:tx>
            <c:strRef>
              <c:f>Sheet5!$I$3:$I$4</c:f>
              <c:strCache>
                <c:ptCount val="1"/>
                <c:pt idx="0">
                  <c:v>Branch 08</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Sheet5!$I$5:$I$17</c:f>
              <c:numCache>
                <c:formatCode>General</c:formatCode>
                <c:ptCount val="12"/>
                <c:pt idx="0">
                  <c:v>3982283</c:v>
                </c:pt>
                <c:pt idx="1">
                  <c:v>2984166</c:v>
                </c:pt>
                <c:pt idx="2">
                  <c:v>2686355</c:v>
                </c:pt>
                <c:pt idx="3">
                  <c:v>1516311</c:v>
                </c:pt>
                <c:pt idx="4">
                  <c:v>1820764</c:v>
                </c:pt>
                <c:pt idx="5">
                  <c:v>1842641</c:v>
                </c:pt>
                <c:pt idx="6">
                  <c:v>1519037</c:v>
                </c:pt>
                <c:pt idx="7">
                  <c:v>1658296</c:v>
                </c:pt>
                <c:pt idx="8">
                  <c:v>2393485</c:v>
                </c:pt>
                <c:pt idx="9">
                  <c:v>2764498</c:v>
                </c:pt>
                <c:pt idx="10">
                  <c:v>1909045</c:v>
                </c:pt>
                <c:pt idx="11">
                  <c:v>2175756.5</c:v>
                </c:pt>
              </c:numCache>
            </c:numRef>
          </c:val>
          <c:smooth val="0"/>
          <c:extLst>
            <c:ext xmlns:c16="http://schemas.microsoft.com/office/drawing/2014/chart" uri="{C3380CC4-5D6E-409C-BE32-E72D297353CC}">
              <c16:uniqueId val="{00000017-1D62-47E3-A75E-D28D6EFEBABE}"/>
            </c:ext>
          </c:extLst>
        </c:ser>
        <c:ser>
          <c:idx val="8"/>
          <c:order val="8"/>
          <c:tx>
            <c:strRef>
              <c:f>Sheet5!$J$3:$J$4</c:f>
              <c:strCache>
                <c:ptCount val="1"/>
                <c:pt idx="0">
                  <c:v>Branch 09</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Sheet5!$J$5:$J$17</c:f>
              <c:numCache>
                <c:formatCode>General</c:formatCode>
                <c:ptCount val="12"/>
                <c:pt idx="0">
                  <c:v>2664425</c:v>
                </c:pt>
                <c:pt idx="1">
                  <c:v>1850583</c:v>
                </c:pt>
                <c:pt idx="2">
                  <c:v>1797550</c:v>
                </c:pt>
                <c:pt idx="3">
                  <c:v>2845909</c:v>
                </c:pt>
                <c:pt idx="4">
                  <c:v>2647020</c:v>
                </c:pt>
                <c:pt idx="5">
                  <c:v>1391570</c:v>
                </c:pt>
                <c:pt idx="6">
                  <c:v>1152750</c:v>
                </c:pt>
                <c:pt idx="7">
                  <c:v>1252938</c:v>
                </c:pt>
                <c:pt idx="8">
                  <c:v>1796990</c:v>
                </c:pt>
                <c:pt idx="9">
                  <c:v>2118183</c:v>
                </c:pt>
                <c:pt idx="10">
                  <c:v>1038682</c:v>
                </c:pt>
                <c:pt idx="11">
                  <c:v>1301523</c:v>
                </c:pt>
              </c:numCache>
            </c:numRef>
          </c:val>
          <c:smooth val="0"/>
          <c:extLst>
            <c:ext xmlns:c16="http://schemas.microsoft.com/office/drawing/2014/chart" uri="{C3380CC4-5D6E-409C-BE32-E72D297353CC}">
              <c16:uniqueId val="{00000018-1D62-47E3-A75E-D28D6EFEBABE}"/>
            </c:ext>
          </c:extLst>
        </c:ser>
        <c:ser>
          <c:idx val="9"/>
          <c:order val="9"/>
          <c:tx>
            <c:strRef>
              <c:f>Sheet5!$K$3:$K$4</c:f>
              <c:strCache>
                <c:ptCount val="1"/>
                <c:pt idx="0">
                  <c:v>Branch 10</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Sheet5!$K$5:$K$17</c:f>
              <c:numCache>
                <c:formatCode>General</c:formatCode>
                <c:ptCount val="12"/>
                <c:pt idx="0">
                  <c:v>2709720</c:v>
                </c:pt>
                <c:pt idx="1">
                  <c:v>2365490</c:v>
                </c:pt>
                <c:pt idx="2">
                  <c:v>2300450</c:v>
                </c:pt>
                <c:pt idx="3">
                  <c:v>1462590</c:v>
                </c:pt>
                <c:pt idx="4">
                  <c:v>2242835</c:v>
                </c:pt>
                <c:pt idx="5">
                  <c:v>1365810</c:v>
                </c:pt>
                <c:pt idx="6">
                  <c:v>927215</c:v>
                </c:pt>
                <c:pt idx="7">
                  <c:v>971095</c:v>
                </c:pt>
                <c:pt idx="8">
                  <c:v>1287820</c:v>
                </c:pt>
                <c:pt idx="9">
                  <c:v>1782760</c:v>
                </c:pt>
                <c:pt idx="10">
                  <c:v>1540815</c:v>
                </c:pt>
                <c:pt idx="11">
                  <c:v>1631860</c:v>
                </c:pt>
              </c:numCache>
            </c:numRef>
          </c:val>
          <c:smooth val="0"/>
          <c:extLst>
            <c:ext xmlns:c16="http://schemas.microsoft.com/office/drawing/2014/chart" uri="{C3380CC4-5D6E-409C-BE32-E72D297353CC}">
              <c16:uniqueId val="{00000019-1D62-47E3-A75E-D28D6EFEBABE}"/>
            </c:ext>
          </c:extLst>
        </c:ser>
        <c:ser>
          <c:idx val="10"/>
          <c:order val="10"/>
          <c:tx>
            <c:strRef>
              <c:f>Sheet5!$L$3:$L$4</c:f>
              <c:strCache>
                <c:ptCount val="1"/>
                <c:pt idx="0">
                  <c:v>Branch 12</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Sheet5!$L$5:$L$17</c:f>
              <c:numCache>
                <c:formatCode>General</c:formatCode>
                <c:ptCount val="12"/>
                <c:pt idx="0">
                  <c:v>3871300</c:v>
                </c:pt>
                <c:pt idx="1">
                  <c:v>2246749</c:v>
                </c:pt>
                <c:pt idx="2">
                  <c:v>2377075</c:v>
                </c:pt>
                <c:pt idx="3">
                  <c:v>1620140</c:v>
                </c:pt>
                <c:pt idx="4">
                  <c:v>1804331</c:v>
                </c:pt>
                <c:pt idx="5">
                  <c:v>1218640</c:v>
                </c:pt>
                <c:pt idx="6">
                  <c:v>1410468</c:v>
                </c:pt>
                <c:pt idx="7">
                  <c:v>1303100</c:v>
                </c:pt>
                <c:pt idx="8">
                  <c:v>1154971</c:v>
                </c:pt>
                <c:pt idx="9">
                  <c:v>2794453</c:v>
                </c:pt>
                <c:pt idx="10">
                  <c:v>1503965</c:v>
                </c:pt>
                <c:pt idx="11">
                  <c:v>2190271</c:v>
                </c:pt>
              </c:numCache>
            </c:numRef>
          </c:val>
          <c:smooth val="0"/>
          <c:extLst>
            <c:ext xmlns:c16="http://schemas.microsoft.com/office/drawing/2014/chart" uri="{C3380CC4-5D6E-409C-BE32-E72D297353CC}">
              <c16:uniqueId val="{0000001A-1D62-47E3-A75E-D28D6EFEBABE}"/>
            </c:ext>
          </c:extLst>
        </c:ser>
        <c:ser>
          <c:idx val="11"/>
          <c:order val="11"/>
          <c:tx>
            <c:strRef>
              <c:f>Sheet5!$M$3:$M$4</c:f>
              <c:strCache>
                <c:ptCount val="1"/>
                <c:pt idx="0">
                  <c:v>Branch 13</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Sheet5!$M$5:$M$17</c:f>
              <c:numCache>
                <c:formatCode>General</c:formatCode>
                <c:ptCount val="12"/>
                <c:pt idx="0">
                  <c:v>3882995</c:v>
                </c:pt>
                <c:pt idx="1">
                  <c:v>2724951</c:v>
                </c:pt>
                <c:pt idx="2">
                  <c:v>2354166</c:v>
                </c:pt>
                <c:pt idx="3">
                  <c:v>2684360</c:v>
                </c:pt>
                <c:pt idx="4">
                  <c:v>2452005</c:v>
                </c:pt>
                <c:pt idx="5">
                  <c:v>1668087</c:v>
                </c:pt>
                <c:pt idx="6">
                  <c:v>1440420</c:v>
                </c:pt>
                <c:pt idx="7">
                  <c:v>1793020</c:v>
                </c:pt>
                <c:pt idx="8">
                  <c:v>1624852</c:v>
                </c:pt>
                <c:pt idx="9">
                  <c:v>2225058</c:v>
                </c:pt>
                <c:pt idx="10">
                  <c:v>1228540</c:v>
                </c:pt>
                <c:pt idx="11">
                  <c:v>2229975</c:v>
                </c:pt>
              </c:numCache>
            </c:numRef>
          </c:val>
          <c:smooth val="0"/>
          <c:extLst>
            <c:ext xmlns:c16="http://schemas.microsoft.com/office/drawing/2014/chart" uri="{C3380CC4-5D6E-409C-BE32-E72D297353CC}">
              <c16:uniqueId val="{0000001B-1D62-47E3-A75E-D28D6EFEBABE}"/>
            </c:ext>
          </c:extLst>
        </c:ser>
        <c:ser>
          <c:idx val="12"/>
          <c:order val="12"/>
          <c:tx>
            <c:strRef>
              <c:f>Sheet5!$N$3:$N$4</c:f>
              <c:strCache>
                <c:ptCount val="1"/>
                <c:pt idx="0">
                  <c:v>Branch 15</c:v>
                </c:pt>
              </c:strCache>
            </c:strRef>
          </c:tx>
          <c:spPr>
            <a:ln w="22225" cap="rnd">
              <a:solidFill>
                <a:schemeClr val="accent1">
                  <a:lumMod val="80000"/>
                  <a:lumOff val="20000"/>
                </a:schemeClr>
              </a:solidFill>
            </a:ln>
            <a:effectLst>
              <a:glow rad="139700">
                <a:schemeClr val="accent1">
                  <a:lumMod val="80000"/>
                  <a:lumOff val="20000"/>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Sheet5!$N$5:$N$17</c:f>
              <c:numCache>
                <c:formatCode>General</c:formatCode>
                <c:ptCount val="12"/>
                <c:pt idx="0">
                  <c:v>1008620</c:v>
                </c:pt>
                <c:pt idx="1">
                  <c:v>978915</c:v>
                </c:pt>
                <c:pt idx="2">
                  <c:v>202420</c:v>
                </c:pt>
              </c:numCache>
            </c:numRef>
          </c:val>
          <c:smooth val="0"/>
          <c:extLst>
            <c:ext xmlns:c16="http://schemas.microsoft.com/office/drawing/2014/chart" uri="{C3380CC4-5D6E-409C-BE32-E72D297353CC}">
              <c16:uniqueId val="{00000023-1D62-47E3-A75E-D28D6EFEBABE}"/>
            </c:ext>
          </c:extLst>
        </c:ser>
        <c:ser>
          <c:idx val="13"/>
          <c:order val="13"/>
          <c:tx>
            <c:strRef>
              <c:f>Sheet5!$O$3:$O$4</c:f>
              <c:strCache>
                <c:ptCount val="1"/>
                <c:pt idx="0">
                  <c:v>Branch 16</c:v>
                </c:pt>
              </c:strCache>
            </c:strRef>
          </c:tx>
          <c:spPr>
            <a:ln w="22225" cap="rnd">
              <a:solidFill>
                <a:schemeClr val="accent2">
                  <a:lumMod val="80000"/>
                  <a:lumOff val="20000"/>
                </a:schemeClr>
              </a:solidFill>
            </a:ln>
            <a:effectLst>
              <a:glow rad="139700">
                <a:schemeClr val="accent2">
                  <a:lumMod val="80000"/>
                  <a:lumOff val="20000"/>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Sheet5!$O$5:$O$17</c:f>
              <c:numCache>
                <c:formatCode>General</c:formatCode>
                <c:ptCount val="12"/>
                <c:pt idx="0">
                  <c:v>6449250</c:v>
                </c:pt>
                <c:pt idx="1">
                  <c:v>3862805</c:v>
                </c:pt>
                <c:pt idx="2">
                  <c:v>3165685</c:v>
                </c:pt>
                <c:pt idx="3">
                  <c:v>3610485</c:v>
                </c:pt>
                <c:pt idx="4">
                  <c:v>3802280</c:v>
                </c:pt>
                <c:pt idx="5">
                  <c:v>2498220</c:v>
                </c:pt>
                <c:pt idx="6">
                  <c:v>1843320</c:v>
                </c:pt>
                <c:pt idx="7">
                  <c:v>1778245</c:v>
                </c:pt>
                <c:pt idx="8">
                  <c:v>2398340</c:v>
                </c:pt>
                <c:pt idx="9">
                  <c:v>3729900</c:v>
                </c:pt>
                <c:pt idx="10">
                  <c:v>2022695</c:v>
                </c:pt>
                <c:pt idx="11">
                  <c:v>2188330</c:v>
                </c:pt>
              </c:numCache>
            </c:numRef>
          </c:val>
          <c:smooth val="0"/>
          <c:extLst>
            <c:ext xmlns:c16="http://schemas.microsoft.com/office/drawing/2014/chart" uri="{C3380CC4-5D6E-409C-BE32-E72D297353CC}">
              <c16:uniqueId val="{00000024-1D62-47E3-A75E-D28D6EFEBABE}"/>
            </c:ext>
          </c:extLst>
        </c:ser>
        <c:ser>
          <c:idx val="14"/>
          <c:order val="14"/>
          <c:tx>
            <c:strRef>
              <c:f>Sheet5!$P$3:$P$4</c:f>
              <c:strCache>
                <c:ptCount val="1"/>
                <c:pt idx="0">
                  <c:v>Branch 17</c:v>
                </c:pt>
              </c:strCache>
            </c:strRef>
          </c:tx>
          <c:spPr>
            <a:ln w="22225" cap="rnd">
              <a:solidFill>
                <a:schemeClr val="accent3">
                  <a:lumMod val="80000"/>
                  <a:lumOff val="20000"/>
                </a:schemeClr>
              </a:solidFill>
            </a:ln>
            <a:effectLst>
              <a:glow rad="139700">
                <a:schemeClr val="accent3">
                  <a:lumMod val="80000"/>
                  <a:lumOff val="20000"/>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Sheet5!$P$5:$P$17</c:f>
              <c:numCache>
                <c:formatCode>General</c:formatCode>
                <c:ptCount val="12"/>
                <c:pt idx="0">
                  <c:v>385235</c:v>
                </c:pt>
                <c:pt idx="1">
                  <c:v>320782</c:v>
                </c:pt>
                <c:pt idx="2">
                  <c:v>75290</c:v>
                </c:pt>
              </c:numCache>
            </c:numRef>
          </c:val>
          <c:smooth val="0"/>
          <c:extLst>
            <c:ext xmlns:c16="http://schemas.microsoft.com/office/drawing/2014/chart" uri="{C3380CC4-5D6E-409C-BE32-E72D297353CC}">
              <c16:uniqueId val="{00000025-1D62-47E3-A75E-D28D6EFEBABE}"/>
            </c:ext>
          </c:extLst>
        </c:ser>
        <c:ser>
          <c:idx val="15"/>
          <c:order val="15"/>
          <c:tx>
            <c:strRef>
              <c:f>Sheet5!$Q$3:$Q$4</c:f>
              <c:strCache>
                <c:ptCount val="1"/>
                <c:pt idx="0">
                  <c:v>Branch 18</c:v>
                </c:pt>
              </c:strCache>
            </c:strRef>
          </c:tx>
          <c:spPr>
            <a:ln w="22225" cap="rnd">
              <a:solidFill>
                <a:schemeClr val="accent4">
                  <a:lumMod val="80000"/>
                  <a:lumOff val="20000"/>
                </a:schemeClr>
              </a:solidFill>
            </a:ln>
            <a:effectLst>
              <a:glow rad="139700">
                <a:schemeClr val="accent4">
                  <a:lumMod val="80000"/>
                  <a:lumOff val="20000"/>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Sheet5!$Q$5:$Q$17</c:f>
              <c:numCache>
                <c:formatCode>General</c:formatCode>
                <c:ptCount val="12"/>
                <c:pt idx="0">
                  <c:v>7510754.1500000004</c:v>
                </c:pt>
                <c:pt idx="1">
                  <c:v>3488608.1399999992</c:v>
                </c:pt>
                <c:pt idx="2">
                  <c:v>359000.29000000027</c:v>
                </c:pt>
                <c:pt idx="3">
                  <c:v>705558.57999999938</c:v>
                </c:pt>
                <c:pt idx="4">
                  <c:v>366364.6999999999</c:v>
                </c:pt>
                <c:pt idx="5">
                  <c:v>199906.51000000004</c:v>
                </c:pt>
                <c:pt idx="6">
                  <c:v>266577.81000000011</c:v>
                </c:pt>
                <c:pt idx="7">
                  <c:v>281263.91999999987</c:v>
                </c:pt>
                <c:pt idx="8">
                  <c:v>283844.36999999994</c:v>
                </c:pt>
                <c:pt idx="9">
                  <c:v>1318817.3499999996</c:v>
                </c:pt>
                <c:pt idx="10">
                  <c:v>214139.21</c:v>
                </c:pt>
                <c:pt idx="11">
                  <c:v>227372.79</c:v>
                </c:pt>
              </c:numCache>
            </c:numRef>
          </c:val>
          <c:smooth val="0"/>
          <c:extLst>
            <c:ext xmlns:c16="http://schemas.microsoft.com/office/drawing/2014/chart" uri="{C3380CC4-5D6E-409C-BE32-E72D297353CC}">
              <c16:uniqueId val="{00000026-1D62-47E3-A75E-D28D6EFEBABE}"/>
            </c:ext>
          </c:extLst>
        </c:ser>
        <c:ser>
          <c:idx val="16"/>
          <c:order val="16"/>
          <c:tx>
            <c:strRef>
              <c:f>Sheet5!$R$3:$R$4</c:f>
              <c:strCache>
                <c:ptCount val="1"/>
                <c:pt idx="0">
                  <c:v>Branch 19</c:v>
                </c:pt>
              </c:strCache>
            </c:strRef>
          </c:tx>
          <c:spPr>
            <a:ln w="22225" cap="rnd">
              <a:solidFill>
                <a:schemeClr val="accent5">
                  <a:lumMod val="80000"/>
                  <a:lumOff val="20000"/>
                </a:schemeClr>
              </a:solidFill>
            </a:ln>
            <a:effectLst>
              <a:glow rad="139700">
                <a:schemeClr val="accent5">
                  <a:lumMod val="80000"/>
                  <a:lumOff val="20000"/>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Sheet5!$R$5:$R$17</c:f>
              <c:numCache>
                <c:formatCode>General</c:formatCode>
                <c:ptCount val="12"/>
                <c:pt idx="0">
                  <c:v>3498961</c:v>
                </c:pt>
                <c:pt idx="1">
                  <c:v>2648733</c:v>
                </c:pt>
                <c:pt idx="2">
                  <c:v>2437358</c:v>
                </c:pt>
                <c:pt idx="3">
                  <c:v>2834058</c:v>
                </c:pt>
                <c:pt idx="4">
                  <c:v>3126763</c:v>
                </c:pt>
                <c:pt idx="5">
                  <c:v>2119346</c:v>
                </c:pt>
                <c:pt idx="6">
                  <c:v>1475297</c:v>
                </c:pt>
                <c:pt idx="7">
                  <c:v>1388511</c:v>
                </c:pt>
                <c:pt idx="8">
                  <c:v>2860385</c:v>
                </c:pt>
                <c:pt idx="9">
                  <c:v>2793779.5</c:v>
                </c:pt>
                <c:pt idx="10">
                  <c:v>1253686.05</c:v>
                </c:pt>
                <c:pt idx="11">
                  <c:v>1641887</c:v>
                </c:pt>
              </c:numCache>
            </c:numRef>
          </c:val>
          <c:smooth val="0"/>
          <c:extLst>
            <c:ext xmlns:c16="http://schemas.microsoft.com/office/drawing/2014/chart" uri="{C3380CC4-5D6E-409C-BE32-E72D297353CC}">
              <c16:uniqueId val="{00000027-1D62-47E3-A75E-D28D6EFEBABE}"/>
            </c:ext>
          </c:extLst>
        </c:ser>
        <c:ser>
          <c:idx val="17"/>
          <c:order val="17"/>
          <c:tx>
            <c:strRef>
              <c:f>Sheet5!$S$3:$S$4</c:f>
              <c:strCache>
                <c:ptCount val="1"/>
                <c:pt idx="0">
                  <c:v>Branch 20</c:v>
                </c:pt>
              </c:strCache>
            </c:strRef>
          </c:tx>
          <c:spPr>
            <a:ln w="22225" cap="rnd">
              <a:solidFill>
                <a:schemeClr val="accent6">
                  <a:lumMod val="80000"/>
                  <a:lumOff val="20000"/>
                </a:schemeClr>
              </a:solidFill>
            </a:ln>
            <a:effectLst>
              <a:glow rad="139700">
                <a:schemeClr val="accent6">
                  <a:lumMod val="80000"/>
                  <a:lumOff val="20000"/>
                  <a:satMod val="175000"/>
                  <a:alpha val="14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Sheet5!$S$5:$S$17</c:f>
              <c:numCache>
                <c:formatCode>General</c:formatCode>
                <c:ptCount val="12"/>
                <c:pt idx="0">
                  <c:v>196800</c:v>
                </c:pt>
              </c:numCache>
            </c:numRef>
          </c:val>
          <c:smooth val="0"/>
          <c:extLst>
            <c:ext xmlns:c16="http://schemas.microsoft.com/office/drawing/2014/chart" uri="{C3380CC4-5D6E-409C-BE32-E72D297353CC}">
              <c16:uniqueId val="{00000028-1D62-47E3-A75E-D28D6EFEBABE}"/>
            </c:ext>
          </c:extLst>
        </c:ser>
        <c:dLbls>
          <c:showLegendKey val="0"/>
          <c:showVal val="0"/>
          <c:showCatName val="0"/>
          <c:showSerName val="0"/>
          <c:showPercent val="0"/>
          <c:showBubbleSize val="0"/>
        </c:dLbls>
        <c:marker val="1"/>
        <c:smooth val="0"/>
        <c:axId val="555992016"/>
        <c:axId val="555992848"/>
      </c:lineChart>
      <c:catAx>
        <c:axId val="555992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5992848"/>
        <c:crosses val="autoZero"/>
        <c:auto val="1"/>
        <c:lblAlgn val="ctr"/>
        <c:lblOffset val="100"/>
        <c:noMultiLvlLbl val="0"/>
      </c:catAx>
      <c:valAx>
        <c:axId val="555992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599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1 - Branch Revenue.xlsx]Branch Pivot!PivotTable1</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Branch</a:t>
            </a:r>
          </a:p>
        </c:rich>
      </c:tx>
      <c:layout>
        <c:manualLayout>
          <c:xMode val="edge"/>
          <c:yMode val="edge"/>
          <c:x val="0.27315966754155729"/>
          <c:y val="0.11934966462525518"/>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4"/>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5"/>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6"/>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7"/>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8"/>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9"/>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8"/>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9"/>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4"/>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5"/>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6"/>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7"/>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8"/>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9"/>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4"/>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5"/>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6"/>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7"/>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8"/>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9"/>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4"/>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5"/>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6"/>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7"/>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8"/>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9"/>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4"/>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5"/>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6"/>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7"/>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lumMod val="20000"/>
              <a:lumOff val="8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029484029484031"/>
          <c:y val="0.38375143247939075"/>
          <c:w val="0.61056511056511054"/>
          <c:h val="0.44723448301356705"/>
        </c:manualLayout>
      </c:layout>
      <c:barChart>
        <c:barDir val="bar"/>
        <c:grouping val="clustered"/>
        <c:varyColors val="0"/>
        <c:ser>
          <c:idx val="0"/>
          <c:order val="0"/>
          <c:tx>
            <c:strRef>
              <c:f>'Branch Pivot'!$B$3:$B$6</c:f>
              <c:strCache>
                <c:ptCount val="1"/>
                <c:pt idx="0">
                  <c:v>January - 2025 - Revenue (SAR)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Pivot'!$B$7:$B$17</c:f>
              <c:numCache>
                <c:formatCode>[$⃁-401]\ #,##0.00</c:formatCode>
                <c:ptCount val="10"/>
                <c:pt idx="0">
                  <c:v>865905</c:v>
                </c:pt>
                <c:pt idx="1">
                  <c:v>1380095</c:v>
                </c:pt>
                <c:pt idx="2">
                  <c:v>868550</c:v>
                </c:pt>
                <c:pt idx="3">
                  <c:v>1132935</c:v>
                </c:pt>
                <c:pt idx="4">
                  <c:v>688190</c:v>
                </c:pt>
                <c:pt idx="5">
                  <c:v>781876</c:v>
                </c:pt>
                <c:pt idx="6">
                  <c:v>1268704</c:v>
                </c:pt>
                <c:pt idx="7">
                  <c:v>849980</c:v>
                </c:pt>
                <c:pt idx="8">
                  <c:v>969242</c:v>
                </c:pt>
                <c:pt idx="9">
                  <c:v>4010306</c:v>
                </c:pt>
              </c:numCache>
            </c:numRef>
          </c:val>
          <c:extLst>
            <c:ext xmlns:c16="http://schemas.microsoft.com/office/drawing/2014/chart" uri="{C3380CC4-5D6E-409C-BE32-E72D297353CC}">
              <c16:uniqueId val="{00000000-2881-464A-9CC1-0B9074A870A4}"/>
            </c:ext>
          </c:extLst>
        </c:ser>
        <c:ser>
          <c:idx val="1"/>
          <c:order val="1"/>
          <c:tx>
            <c:strRef>
              <c:f>'Branch Pivot'!$C$3:$C$6</c:f>
              <c:strCache>
                <c:ptCount val="1"/>
                <c:pt idx="0">
                  <c:v>January - 2025 - Weight Sold (g)</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Pivot'!$C$7:$C$17</c:f>
              <c:numCache>
                <c:formatCode>0.00</c:formatCode>
                <c:ptCount val="10"/>
                <c:pt idx="0">
                  <c:v>1648.1399999999992</c:v>
                </c:pt>
                <c:pt idx="1">
                  <c:v>3267.8300000000013</c:v>
                </c:pt>
                <c:pt idx="2">
                  <c:v>3971.9</c:v>
                </c:pt>
                <c:pt idx="3">
                  <c:v>1711.2999999999995</c:v>
                </c:pt>
                <c:pt idx="4">
                  <c:v>1601.0299999999995</c:v>
                </c:pt>
                <c:pt idx="5">
                  <c:v>1806.8889999999985</c:v>
                </c:pt>
                <c:pt idx="6">
                  <c:v>2817.159000000001</c:v>
                </c:pt>
                <c:pt idx="7">
                  <c:v>1832.4290000000005</c:v>
                </c:pt>
                <c:pt idx="8">
                  <c:v>2455.838999999999</c:v>
                </c:pt>
                <c:pt idx="9">
                  <c:v>10750.130000000008</c:v>
                </c:pt>
              </c:numCache>
            </c:numRef>
          </c:val>
          <c:extLst>
            <c:ext xmlns:c16="http://schemas.microsoft.com/office/drawing/2014/chart" uri="{C3380CC4-5D6E-409C-BE32-E72D297353CC}">
              <c16:uniqueId val="{00000001-2881-464A-9CC1-0B9074A870A4}"/>
            </c:ext>
          </c:extLst>
        </c:ser>
        <c:ser>
          <c:idx val="2"/>
          <c:order val="2"/>
          <c:tx>
            <c:strRef>
              <c:f>'Branch Pivot'!$D$3:$D$6</c:f>
              <c:strCache>
                <c:ptCount val="1"/>
                <c:pt idx="0">
                  <c:v>January - 2025 - Transactions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Pivot'!$D$7:$D$17</c:f>
              <c:numCache>
                <c:formatCode>General</c:formatCode>
                <c:ptCount val="10"/>
                <c:pt idx="0">
                  <c:v>228</c:v>
                </c:pt>
                <c:pt idx="1">
                  <c:v>316</c:v>
                </c:pt>
                <c:pt idx="2">
                  <c:v>190</c:v>
                </c:pt>
                <c:pt idx="3">
                  <c:v>232</c:v>
                </c:pt>
                <c:pt idx="4">
                  <c:v>142</c:v>
                </c:pt>
                <c:pt idx="5">
                  <c:v>278</c:v>
                </c:pt>
                <c:pt idx="6">
                  <c:v>254</c:v>
                </c:pt>
                <c:pt idx="7">
                  <c:v>137</c:v>
                </c:pt>
                <c:pt idx="8">
                  <c:v>176</c:v>
                </c:pt>
                <c:pt idx="9">
                  <c:v>744</c:v>
                </c:pt>
              </c:numCache>
            </c:numRef>
          </c:val>
          <c:extLst>
            <c:ext xmlns:c16="http://schemas.microsoft.com/office/drawing/2014/chart" uri="{C3380CC4-5D6E-409C-BE32-E72D297353CC}">
              <c16:uniqueId val="{00000002-2881-464A-9CC1-0B9074A870A4}"/>
            </c:ext>
          </c:extLst>
        </c:ser>
        <c:ser>
          <c:idx val="3"/>
          <c:order val="3"/>
          <c:tx>
            <c:strRef>
              <c:f>'Branch Pivot'!$E$3:$E$6</c:f>
              <c:strCache>
                <c:ptCount val="1"/>
                <c:pt idx="0">
                  <c:v>January - 2025 - Avg Transaction Value</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Pivot'!$E$7:$E$17</c:f>
              <c:numCache>
                <c:formatCode>0.00</c:formatCode>
                <c:ptCount val="10"/>
                <c:pt idx="0">
                  <c:v>3797.83</c:v>
                </c:pt>
                <c:pt idx="1">
                  <c:v>4367.3900000000003</c:v>
                </c:pt>
                <c:pt idx="2">
                  <c:v>4571.32</c:v>
                </c:pt>
                <c:pt idx="3">
                  <c:v>4883.34</c:v>
                </c:pt>
                <c:pt idx="4">
                  <c:v>4846.41</c:v>
                </c:pt>
                <c:pt idx="5">
                  <c:v>2812.5</c:v>
                </c:pt>
                <c:pt idx="6">
                  <c:v>4994.8999999999996</c:v>
                </c:pt>
                <c:pt idx="7">
                  <c:v>6204.23</c:v>
                </c:pt>
                <c:pt idx="8">
                  <c:v>5507.06</c:v>
                </c:pt>
                <c:pt idx="9">
                  <c:v>10778.15</c:v>
                </c:pt>
              </c:numCache>
            </c:numRef>
          </c:val>
          <c:extLst>
            <c:ext xmlns:c16="http://schemas.microsoft.com/office/drawing/2014/chart" uri="{C3380CC4-5D6E-409C-BE32-E72D297353CC}">
              <c16:uniqueId val="{00000003-2881-464A-9CC1-0B9074A870A4}"/>
            </c:ext>
          </c:extLst>
        </c:ser>
        <c:ser>
          <c:idx val="4"/>
          <c:order val="4"/>
          <c:tx>
            <c:strRef>
              <c:f>'Branch Pivot'!$F$3:$F$6</c:f>
              <c:strCache>
                <c:ptCount val="1"/>
                <c:pt idx="0">
                  <c:v>January - 2026 - Revenue (SAR)</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Pivot'!$F$7:$F$17</c:f>
              <c:numCache>
                <c:formatCode>[$⃁-401]\ #,##0.00</c:formatCode>
                <c:ptCount val="10"/>
                <c:pt idx="0">
                  <c:v>2633056</c:v>
                </c:pt>
                <c:pt idx="1">
                  <c:v>5069155</c:v>
                </c:pt>
                <c:pt idx="2">
                  <c:v>3014445</c:v>
                </c:pt>
                <c:pt idx="3">
                  <c:v>2738365</c:v>
                </c:pt>
                <c:pt idx="4">
                  <c:v>1976235</c:v>
                </c:pt>
                <c:pt idx="5">
                  <c:v>3200407</c:v>
                </c:pt>
                <c:pt idx="6">
                  <c:v>3558552</c:v>
                </c:pt>
                <c:pt idx="7">
                  <c:v>4230144.99</c:v>
                </c:pt>
                <c:pt idx="8">
                  <c:v>1104222.94</c:v>
                </c:pt>
                <c:pt idx="9">
                  <c:v>3513045</c:v>
                </c:pt>
              </c:numCache>
            </c:numRef>
          </c:val>
          <c:extLst>
            <c:ext xmlns:c16="http://schemas.microsoft.com/office/drawing/2014/chart" uri="{C3380CC4-5D6E-409C-BE32-E72D297353CC}">
              <c16:uniqueId val="{00000095-253C-4088-94BD-2A11347023B7}"/>
            </c:ext>
          </c:extLst>
        </c:ser>
        <c:ser>
          <c:idx val="5"/>
          <c:order val="5"/>
          <c:tx>
            <c:strRef>
              <c:f>'Branch Pivot'!$G$3:$G$6</c:f>
              <c:strCache>
                <c:ptCount val="1"/>
                <c:pt idx="0">
                  <c:v>January - 2026 - Weight Sold (g)</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Pivot'!$G$7:$G$17</c:f>
              <c:numCache>
                <c:formatCode>0.00</c:formatCode>
                <c:ptCount val="10"/>
                <c:pt idx="0">
                  <c:v>32723.189999999981</c:v>
                </c:pt>
                <c:pt idx="1">
                  <c:v>69860.170000000013</c:v>
                </c:pt>
                <c:pt idx="2">
                  <c:v>20963.949999999993</c:v>
                </c:pt>
                <c:pt idx="3">
                  <c:v>43601.879999999954</c:v>
                </c:pt>
                <c:pt idx="4">
                  <c:v>29940.689999999991</c:v>
                </c:pt>
                <c:pt idx="5">
                  <c:v>28898.330000000016</c:v>
                </c:pt>
                <c:pt idx="6">
                  <c:v>50796.009999999966</c:v>
                </c:pt>
                <c:pt idx="7">
                  <c:v>139522.29000000004</c:v>
                </c:pt>
                <c:pt idx="8">
                  <c:v>34874.559999999998</c:v>
                </c:pt>
                <c:pt idx="9">
                  <c:v>61897.69000000001</c:v>
                </c:pt>
              </c:numCache>
            </c:numRef>
          </c:val>
          <c:extLst>
            <c:ext xmlns:c16="http://schemas.microsoft.com/office/drawing/2014/chart" uri="{C3380CC4-5D6E-409C-BE32-E72D297353CC}">
              <c16:uniqueId val="{00000096-253C-4088-94BD-2A11347023B7}"/>
            </c:ext>
          </c:extLst>
        </c:ser>
        <c:ser>
          <c:idx val="6"/>
          <c:order val="6"/>
          <c:tx>
            <c:strRef>
              <c:f>'Branch Pivot'!$H$3:$H$6</c:f>
              <c:strCache>
                <c:ptCount val="1"/>
                <c:pt idx="0">
                  <c:v>January - 2026 - Transactions</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Pivot'!$H$7:$H$17</c:f>
              <c:numCache>
                <c:formatCode>General</c:formatCode>
                <c:ptCount val="10"/>
                <c:pt idx="0">
                  <c:v>370</c:v>
                </c:pt>
                <c:pt idx="1">
                  <c:v>513</c:v>
                </c:pt>
                <c:pt idx="2">
                  <c:v>444</c:v>
                </c:pt>
                <c:pt idx="3">
                  <c:v>402</c:v>
                </c:pt>
                <c:pt idx="4">
                  <c:v>278</c:v>
                </c:pt>
                <c:pt idx="5">
                  <c:v>646</c:v>
                </c:pt>
                <c:pt idx="6">
                  <c:v>472</c:v>
                </c:pt>
                <c:pt idx="7">
                  <c:v>486</c:v>
                </c:pt>
                <c:pt idx="8">
                  <c:v>153</c:v>
                </c:pt>
                <c:pt idx="9">
                  <c:v>471</c:v>
                </c:pt>
              </c:numCache>
            </c:numRef>
          </c:val>
          <c:extLst>
            <c:ext xmlns:c16="http://schemas.microsoft.com/office/drawing/2014/chart" uri="{C3380CC4-5D6E-409C-BE32-E72D297353CC}">
              <c16:uniqueId val="{00000097-253C-4088-94BD-2A11347023B7}"/>
            </c:ext>
          </c:extLst>
        </c:ser>
        <c:ser>
          <c:idx val="7"/>
          <c:order val="7"/>
          <c:tx>
            <c:strRef>
              <c:f>'Branch Pivot'!$I$3:$I$6</c:f>
              <c:strCache>
                <c:ptCount val="1"/>
                <c:pt idx="0">
                  <c:v>January - 2026 - Avg Transaction Value</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Pivot'!$I$7:$I$17</c:f>
              <c:numCache>
                <c:formatCode>0.00</c:formatCode>
                <c:ptCount val="10"/>
                <c:pt idx="0">
                  <c:v>7116.37</c:v>
                </c:pt>
                <c:pt idx="1">
                  <c:v>9881.39</c:v>
                </c:pt>
                <c:pt idx="2">
                  <c:v>6789.29</c:v>
                </c:pt>
                <c:pt idx="3">
                  <c:v>6811.85</c:v>
                </c:pt>
                <c:pt idx="4">
                  <c:v>7108.76</c:v>
                </c:pt>
                <c:pt idx="5">
                  <c:v>4954.1899999999996</c:v>
                </c:pt>
                <c:pt idx="6">
                  <c:v>7539.31</c:v>
                </c:pt>
                <c:pt idx="7">
                  <c:v>8704</c:v>
                </c:pt>
                <c:pt idx="8">
                  <c:v>7217.14</c:v>
                </c:pt>
                <c:pt idx="9">
                  <c:v>7458.69</c:v>
                </c:pt>
              </c:numCache>
            </c:numRef>
          </c:val>
          <c:extLst>
            <c:ext xmlns:c16="http://schemas.microsoft.com/office/drawing/2014/chart" uri="{C3380CC4-5D6E-409C-BE32-E72D297353CC}">
              <c16:uniqueId val="{00000098-253C-4088-94BD-2A11347023B7}"/>
            </c:ext>
          </c:extLst>
        </c:ser>
        <c:ser>
          <c:idx val="8"/>
          <c:order val="8"/>
          <c:tx>
            <c:strRef>
              <c:f>'Branch Pivot'!$J$3:$J$6</c:f>
              <c:strCache>
                <c:ptCount val="1"/>
                <c:pt idx="0">
                  <c:v>February - 2025 - Revenue (SAR)</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Pivot'!$J$7:$J$17</c:f>
              <c:numCache>
                <c:formatCode>[$⃁-401]\ #,##0.00</c:formatCode>
                <c:ptCount val="10"/>
                <c:pt idx="0">
                  <c:v>1508399</c:v>
                </c:pt>
                <c:pt idx="1">
                  <c:v>2341870</c:v>
                </c:pt>
                <c:pt idx="2">
                  <c:v>1905223</c:v>
                </c:pt>
                <c:pt idx="3">
                  <c:v>1557542</c:v>
                </c:pt>
                <c:pt idx="4">
                  <c:v>1294391</c:v>
                </c:pt>
                <c:pt idx="5">
                  <c:v>1704837</c:v>
                </c:pt>
                <c:pt idx="6">
                  <c:v>1257855</c:v>
                </c:pt>
                <c:pt idx="7">
                  <c:v>1301285</c:v>
                </c:pt>
                <c:pt idx="8">
                  <c:v>2962986</c:v>
                </c:pt>
                <c:pt idx="9">
                  <c:v>2159513.7000000002</c:v>
                </c:pt>
              </c:numCache>
            </c:numRef>
          </c:val>
          <c:extLst>
            <c:ext xmlns:c16="http://schemas.microsoft.com/office/drawing/2014/chart" uri="{C3380CC4-5D6E-409C-BE32-E72D297353CC}">
              <c16:uniqueId val="{00000099-253C-4088-94BD-2A11347023B7}"/>
            </c:ext>
          </c:extLst>
        </c:ser>
        <c:ser>
          <c:idx val="9"/>
          <c:order val="9"/>
          <c:tx>
            <c:strRef>
              <c:f>'Branch Pivot'!$K$3:$K$6</c:f>
              <c:strCache>
                <c:ptCount val="1"/>
                <c:pt idx="0">
                  <c:v>February - 2025 - Weight Sold (g)</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Pivot'!$K$7:$K$17</c:f>
              <c:numCache>
                <c:formatCode>0.00</c:formatCode>
                <c:ptCount val="10"/>
                <c:pt idx="0">
                  <c:v>4351.3599999999988</c:v>
                </c:pt>
                <c:pt idx="1">
                  <c:v>6827.7690000000093</c:v>
                </c:pt>
                <c:pt idx="2">
                  <c:v>5339.0999999999995</c:v>
                </c:pt>
                <c:pt idx="3">
                  <c:v>4008.9289999999987</c:v>
                </c:pt>
                <c:pt idx="4">
                  <c:v>3687.1699999999996</c:v>
                </c:pt>
                <c:pt idx="5">
                  <c:v>4186.0999999999995</c:v>
                </c:pt>
                <c:pt idx="6">
                  <c:v>2978.3500000000013</c:v>
                </c:pt>
                <c:pt idx="7">
                  <c:v>3345.9510000000018</c:v>
                </c:pt>
                <c:pt idx="8">
                  <c:v>8751.5279999999984</c:v>
                </c:pt>
                <c:pt idx="9">
                  <c:v>7094.708000000006</c:v>
                </c:pt>
              </c:numCache>
            </c:numRef>
          </c:val>
          <c:extLst>
            <c:ext xmlns:c16="http://schemas.microsoft.com/office/drawing/2014/chart" uri="{C3380CC4-5D6E-409C-BE32-E72D297353CC}">
              <c16:uniqueId val="{0000009A-253C-4088-94BD-2A11347023B7}"/>
            </c:ext>
          </c:extLst>
        </c:ser>
        <c:ser>
          <c:idx val="10"/>
          <c:order val="10"/>
          <c:tx>
            <c:strRef>
              <c:f>'Branch Pivot'!$L$3:$L$6</c:f>
              <c:strCache>
                <c:ptCount val="1"/>
                <c:pt idx="0">
                  <c:v>February - 2025 - Transactions</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Pivot'!$L$7:$L$17</c:f>
              <c:numCache>
                <c:formatCode>General</c:formatCode>
                <c:ptCount val="10"/>
                <c:pt idx="0">
                  <c:v>326</c:v>
                </c:pt>
                <c:pt idx="1">
                  <c:v>493</c:v>
                </c:pt>
                <c:pt idx="2">
                  <c:v>343</c:v>
                </c:pt>
                <c:pt idx="3">
                  <c:v>327</c:v>
                </c:pt>
                <c:pt idx="4">
                  <c:v>253</c:v>
                </c:pt>
                <c:pt idx="5">
                  <c:v>507</c:v>
                </c:pt>
                <c:pt idx="6">
                  <c:v>306</c:v>
                </c:pt>
                <c:pt idx="7">
                  <c:v>325</c:v>
                </c:pt>
                <c:pt idx="8">
                  <c:v>373</c:v>
                </c:pt>
                <c:pt idx="9">
                  <c:v>367</c:v>
                </c:pt>
              </c:numCache>
            </c:numRef>
          </c:val>
          <c:extLst>
            <c:ext xmlns:c16="http://schemas.microsoft.com/office/drawing/2014/chart" uri="{C3380CC4-5D6E-409C-BE32-E72D297353CC}">
              <c16:uniqueId val="{0000009B-253C-4088-94BD-2A11347023B7}"/>
            </c:ext>
          </c:extLst>
        </c:ser>
        <c:ser>
          <c:idx val="11"/>
          <c:order val="11"/>
          <c:tx>
            <c:strRef>
              <c:f>'Branch Pivot'!$M$3:$M$6</c:f>
              <c:strCache>
                <c:ptCount val="1"/>
                <c:pt idx="0">
                  <c:v>February - 2025 - Avg Transaction Value</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Pivot'!$M$7:$M$17</c:f>
              <c:numCache>
                <c:formatCode>0.00</c:formatCode>
                <c:ptCount val="10"/>
                <c:pt idx="0">
                  <c:v>4626.99</c:v>
                </c:pt>
                <c:pt idx="1">
                  <c:v>4750.24</c:v>
                </c:pt>
                <c:pt idx="2">
                  <c:v>5554.59</c:v>
                </c:pt>
                <c:pt idx="3">
                  <c:v>4763.13</c:v>
                </c:pt>
                <c:pt idx="4">
                  <c:v>5116.17</c:v>
                </c:pt>
                <c:pt idx="5">
                  <c:v>3362.6</c:v>
                </c:pt>
                <c:pt idx="6">
                  <c:v>4110.6400000000003</c:v>
                </c:pt>
                <c:pt idx="7">
                  <c:v>4003.95</c:v>
                </c:pt>
                <c:pt idx="8">
                  <c:v>7943.66</c:v>
                </c:pt>
                <c:pt idx="9">
                  <c:v>5884.23</c:v>
                </c:pt>
              </c:numCache>
            </c:numRef>
          </c:val>
          <c:extLst>
            <c:ext xmlns:c16="http://schemas.microsoft.com/office/drawing/2014/chart" uri="{C3380CC4-5D6E-409C-BE32-E72D297353CC}">
              <c16:uniqueId val="{0000009C-253C-4088-94BD-2A11347023B7}"/>
            </c:ext>
          </c:extLst>
        </c:ser>
        <c:ser>
          <c:idx val="12"/>
          <c:order val="12"/>
          <c:tx>
            <c:strRef>
              <c:f>'Branch Pivot'!$N$3:$N$6</c:f>
              <c:strCache>
                <c:ptCount val="1"/>
                <c:pt idx="0">
                  <c:v>February - 2026 - Revenue (SAR)</c:v>
                </c:pt>
              </c:strCache>
            </c:strRef>
          </c:tx>
          <c:spPr>
            <a:solidFill>
              <a:schemeClr val="accent1"/>
            </a:solid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Pivot'!$N$7:$N$17</c:f>
              <c:numCache>
                <c:formatCode>[$⃁-401]\ #,##0.00</c:formatCode>
                <c:ptCount val="10"/>
                <c:pt idx="0">
                  <c:v>1140334</c:v>
                </c:pt>
                <c:pt idx="1">
                  <c:v>1520935</c:v>
                </c:pt>
                <c:pt idx="2">
                  <c:v>819728</c:v>
                </c:pt>
                <c:pt idx="3">
                  <c:v>689207</c:v>
                </c:pt>
                <c:pt idx="4">
                  <c:v>556192</c:v>
                </c:pt>
                <c:pt idx="5">
                  <c:v>1279329</c:v>
                </c:pt>
                <c:pt idx="6">
                  <c:v>871325</c:v>
                </c:pt>
                <c:pt idx="7">
                  <c:v>558535</c:v>
                </c:pt>
                <c:pt idx="9">
                  <c:v>1020189</c:v>
                </c:pt>
              </c:numCache>
            </c:numRef>
          </c:val>
          <c:extLst>
            <c:ext xmlns:c16="http://schemas.microsoft.com/office/drawing/2014/chart" uri="{C3380CC4-5D6E-409C-BE32-E72D297353CC}">
              <c16:uniqueId val="{0000009D-253C-4088-94BD-2A11347023B7}"/>
            </c:ext>
          </c:extLst>
        </c:ser>
        <c:ser>
          <c:idx val="13"/>
          <c:order val="13"/>
          <c:tx>
            <c:strRef>
              <c:f>'Branch Pivot'!$O$3:$O$6</c:f>
              <c:strCache>
                <c:ptCount val="1"/>
                <c:pt idx="0">
                  <c:v>February - 2026 - Weight Sold (g)</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Pivot'!$O$7:$O$17</c:f>
              <c:numCache>
                <c:formatCode>0.00</c:formatCode>
                <c:ptCount val="10"/>
                <c:pt idx="0">
                  <c:v>3087.12</c:v>
                </c:pt>
                <c:pt idx="1">
                  <c:v>2571.5499999999979</c:v>
                </c:pt>
                <c:pt idx="2">
                  <c:v>1382.5500000000002</c:v>
                </c:pt>
                <c:pt idx="3">
                  <c:v>2037.0500000000002</c:v>
                </c:pt>
                <c:pt idx="4">
                  <c:v>968.27</c:v>
                </c:pt>
                <c:pt idx="5">
                  <c:v>41139.849999999984</c:v>
                </c:pt>
                <c:pt idx="6">
                  <c:v>8206.9000000000015</c:v>
                </c:pt>
                <c:pt idx="7">
                  <c:v>1886.6800000000005</c:v>
                </c:pt>
                <c:pt idx="9">
                  <c:v>3803.0699999999974</c:v>
                </c:pt>
              </c:numCache>
            </c:numRef>
          </c:val>
          <c:extLst>
            <c:ext xmlns:c16="http://schemas.microsoft.com/office/drawing/2014/chart" uri="{C3380CC4-5D6E-409C-BE32-E72D297353CC}">
              <c16:uniqueId val="{0000009E-253C-4088-94BD-2A11347023B7}"/>
            </c:ext>
          </c:extLst>
        </c:ser>
        <c:ser>
          <c:idx val="14"/>
          <c:order val="14"/>
          <c:tx>
            <c:strRef>
              <c:f>'Branch Pivot'!$P$3:$P$6</c:f>
              <c:strCache>
                <c:ptCount val="1"/>
                <c:pt idx="0">
                  <c:v>February - 2026 - Transactions</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Pivot'!$P$7:$P$17</c:f>
              <c:numCache>
                <c:formatCode>General</c:formatCode>
                <c:ptCount val="10"/>
                <c:pt idx="0">
                  <c:v>117</c:v>
                </c:pt>
                <c:pt idx="1">
                  <c:v>215</c:v>
                </c:pt>
                <c:pt idx="2">
                  <c:v>134</c:v>
                </c:pt>
                <c:pt idx="3">
                  <c:v>114</c:v>
                </c:pt>
                <c:pt idx="4">
                  <c:v>90</c:v>
                </c:pt>
                <c:pt idx="5">
                  <c:v>206</c:v>
                </c:pt>
                <c:pt idx="6">
                  <c:v>138</c:v>
                </c:pt>
                <c:pt idx="7">
                  <c:v>108</c:v>
                </c:pt>
                <c:pt idx="9">
                  <c:v>164</c:v>
                </c:pt>
              </c:numCache>
            </c:numRef>
          </c:val>
          <c:extLst>
            <c:ext xmlns:c16="http://schemas.microsoft.com/office/drawing/2014/chart" uri="{C3380CC4-5D6E-409C-BE32-E72D297353CC}">
              <c16:uniqueId val="{0000009F-253C-4088-94BD-2A11347023B7}"/>
            </c:ext>
          </c:extLst>
        </c:ser>
        <c:ser>
          <c:idx val="15"/>
          <c:order val="15"/>
          <c:tx>
            <c:strRef>
              <c:f>'Branch Pivot'!$Q$3:$Q$6</c:f>
              <c:strCache>
                <c:ptCount val="1"/>
                <c:pt idx="0">
                  <c:v>February - 2026 - Avg Transaction Value</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Pivot'!$Q$7:$Q$17</c:f>
              <c:numCache>
                <c:formatCode>0.00</c:formatCode>
                <c:ptCount val="10"/>
                <c:pt idx="0">
                  <c:v>9746.44</c:v>
                </c:pt>
                <c:pt idx="1">
                  <c:v>7074.12</c:v>
                </c:pt>
                <c:pt idx="2">
                  <c:v>6117.37</c:v>
                </c:pt>
                <c:pt idx="3">
                  <c:v>6045.68</c:v>
                </c:pt>
                <c:pt idx="4">
                  <c:v>6179.91</c:v>
                </c:pt>
                <c:pt idx="5">
                  <c:v>6210.33</c:v>
                </c:pt>
                <c:pt idx="6">
                  <c:v>6313.95</c:v>
                </c:pt>
                <c:pt idx="7">
                  <c:v>5171.62</c:v>
                </c:pt>
                <c:pt idx="9">
                  <c:v>6220.66</c:v>
                </c:pt>
              </c:numCache>
            </c:numRef>
          </c:val>
          <c:extLst>
            <c:ext xmlns:c16="http://schemas.microsoft.com/office/drawing/2014/chart" uri="{C3380CC4-5D6E-409C-BE32-E72D297353CC}">
              <c16:uniqueId val="{000000A0-253C-4088-94BD-2A11347023B7}"/>
            </c:ext>
          </c:extLst>
        </c:ser>
        <c:ser>
          <c:idx val="16"/>
          <c:order val="16"/>
          <c:tx>
            <c:strRef>
              <c:f>'Branch Pivot'!$R$3:$R$6</c:f>
              <c:strCache>
                <c:ptCount val="1"/>
                <c:pt idx="0">
                  <c:v>March - 2025 - Revenue (SAR)</c:v>
                </c:pt>
              </c:strCache>
            </c:strRef>
          </c:tx>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Pivot'!$R$7:$R$17</c:f>
              <c:numCache>
                <c:formatCode>[$⃁-401]\ #,##0.00</c:formatCode>
                <c:ptCount val="10"/>
                <c:pt idx="0">
                  <c:v>2437358</c:v>
                </c:pt>
                <c:pt idx="1">
                  <c:v>3165685</c:v>
                </c:pt>
                <c:pt idx="2">
                  <c:v>2354166</c:v>
                </c:pt>
                <c:pt idx="3">
                  <c:v>2377075</c:v>
                </c:pt>
                <c:pt idx="4">
                  <c:v>1797550</c:v>
                </c:pt>
                <c:pt idx="5">
                  <c:v>2686355</c:v>
                </c:pt>
                <c:pt idx="6">
                  <c:v>2187325</c:v>
                </c:pt>
                <c:pt idx="7">
                  <c:v>2076905</c:v>
                </c:pt>
                <c:pt idx="8">
                  <c:v>2647159</c:v>
                </c:pt>
              </c:numCache>
            </c:numRef>
          </c:val>
          <c:extLst>
            <c:ext xmlns:c16="http://schemas.microsoft.com/office/drawing/2014/chart" uri="{C3380CC4-5D6E-409C-BE32-E72D297353CC}">
              <c16:uniqueId val="{000000A1-253C-4088-94BD-2A11347023B7}"/>
            </c:ext>
          </c:extLst>
        </c:ser>
        <c:ser>
          <c:idx val="17"/>
          <c:order val="17"/>
          <c:tx>
            <c:strRef>
              <c:f>'Branch Pivot'!$S$3:$S$6</c:f>
              <c:strCache>
                <c:ptCount val="1"/>
                <c:pt idx="0">
                  <c:v>March - 2025 - Weight Sold (g)</c:v>
                </c:pt>
              </c:strCache>
            </c:strRef>
          </c:tx>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Pivot'!$S$7:$S$17</c:f>
              <c:numCache>
                <c:formatCode>0.00</c:formatCode>
                <c:ptCount val="10"/>
                <c:pt idx="0">
                  <c:v>6683.4000000000033</c:v>
                </c:pt>
                <c:pt idx="1">
                  <c:v>17606.850000000042</c:v>
                </c:pt>
                <c:pt idx="2">
                  <c:v>6697.3400000000074</c:v>
                </c:pt>
                <c:pt idx="3">
                  <c:v>6052.4299999999994</c:v>
                </c:pt>
                <c:pt idx="4">
                  <c:v>7804.359999999996</c:v>
                </c:pt>
                <c:pt idx="5">
                  <c:v>6383.0400000000027</c:v>
                </c:pt>
                <c:pt idx="6">
                  <c:v>6065.2200000000066</c:v>
                </c:pt>
                <c:pt idx="7">
                  <c:v>7339.5800000000063</c:v>
                </c:pt>
                <c:pt idx="8">
                  <c:v>7937.2300000000087</c:v>
                </c:pt>
              </c:numCache>
            </c:numRef>
          </c:val>
          <c:extLst>
            <c:ext xmlns:c16="http://schemas.microsoft.com/office/drawing/2014/chart" uri="{C3380CC4-5D6E-409C-BE32-E72D297353CC}">
              <c16:uniqueId val="{000000A2-253C-4088-94BD-2A11347023B7}"/>
            </c:ext>
          </c:extLst>
        </c:ser>
        <c:ser>
          <c:idx val="18"/>
          <c:order val="18"/>
          <c:tx>
            <c:strRef>
              <c:f>'Branch Pivot'!$T$3:$T$6</c:f>
              <c:strCache>
                <c:ptCount val="1"/>
                <c:pt idx="0">
                  <c:v>March - 2025 - Transactions</c:v>
                </c:pt>
              </c:strCache>
            </c:strRef>
          </c:tx>
          <c:spPr>
            <a:noFill/>
            <a:ln w="9525" cap="flat" cmpd="sng" algn="ctr">
              <a:solidFill>
                <a:schemeClr val="accent1">
                  <a:lumMod val="80000"/>
                </a:schemeClr>
              </a:solidFill>
              <a:miter lim="800000"/>
            </a:ln>
            <a:effectLst>
              <a:glow rad="63500">
                <a:schemeClr val="accent1">
                  <a:lumMod val="8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Pivot'!$T$7:$T$17</c:f>
              <c:numCache>
                <c:formatCode>General</c:formatCode>
                <c:ptCount val="10"/>
                <c:pt idx="0">
                  <c:v>424</c:v>
                </c:pt>
                <c:pt idx="1">
                  <c:v>641</c:v>
                </c:pt>
                <c:pt idx="2">
                  <c:v>457</c:v>
                </c:pt>
                <c:pt idx="3">
                  <c:v>449</c:v>
                </c:pt>
                <c:pt idx="4">
                  <c:v>308</c:v>
                </c:pt>
                <c:pt idx="5">
                  <c:v>821</c:v>
                </c:pt>
                <c:pt idx="6">
                  <c:v>472</c:v>
                </c:pt>
                <c:pt idx="7">
                  <c:v>425</c:v>
                </c:pt>
                <c:pt idx="8">
                  <c:v>394</c:v>
                </c:pt>
              </c:numCache>
            </c:numRef>
          </c:val>
          <c:extLst>
            <c:ext xmlns:c16="http://schemas.microsoft.com/office/drawing/2014/chart" uri="{C3380CC4-5D6E-409C-BE32-E72D297353CC}">
              <c16:uniqueId val="{000000A3-253C-4088-94BD-2A11347023B7}"/>
            </c:ext>
          </c:extLst>
        </c:ser>
        <c:ser>
          <c:idx val="19"/>
          <c:order val="19"/>
          <c:tx>
            <c:strRef>
              <c:f>'Branch Pivot'!$U$3:$U$6</c:f>
              <c:strCache>
                <c:ptCount val="1"/>
                <c:pt idx="0">
                  <c:v>March - 2025 - Avg Transaction Value</c:v>
                </c:pt>
              </c:strCache>
            </c:strRef>
          </c:tx>
          <c:spPr>
            <a:noFill/>
            <a:ln w="9525" cap="flat" cmpd="sng" algn="ctr">
              <a:solidFill>
                <a:schemeClr val="accent2">
                  <a:lumMod val="80000"/>
                </a:schemeClr>
              </a:solidFill>
              <a:miter lim="800000"/>
            </a:ln>
            <a:effectLst>
              <a:glow rad="63500">
                <a:schemeClr val="accent2">
                  <a:lumMod val="8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Pivot'!$U$7:$U$17</c:f>
              <c:numCache>
                <c:formatCode>0.00</c:formatCode>
                <c:ptCount val="10"/>
                <c:pt idx="0">
                  <c:v>5748.49</c:v>
                </c:pt>
                <c:pt idx="1">
                  <c:v>4938.67</c:v>
                </c:pt>
                <c:pt idx="2">
                  <c:v>5151.3500000000004</c:v>
                </c:pt>
                <c:pt idx="3">
                  <c:v>5294.15</c:v>
                </c:pt>
                <c:pt idx="4">
                  <c:v>5836.2</c:v>
                </c:pt>
                <c:pt idx="5">
                  <c:v>3272.05</c:v>
                </c:pt>
                <c:pt idx="6">
                  <c:v>4634.16</c:v>
                </c:pt>
                <c:pt idx="7">
                  <c:v>4886.84</c:v>
                </c:pt>
                <c:pt idx="8">
                  <c:v>6718.68</c:v>
                </c:pt>
              </c:numCache>
            </c:numRef>
          </c:val>
          <c:extLst>
            <c:ext xmlns:c16="http://schemas.microsoft.com/office/drawing/2014/chart" uri="{C3380CC4-5D6E-409C-BE32-E72D297353CC}">
              <c16:uniqueId val="{000000A4-253C-4088-94BD-2A11347023B7}"/>
            </c:ext>
          </c:extLst>
        </c:ser>
        <c:ser>
          <c:idx val="20"/>
          <c:order val="20"/>
          <c:tx>
            <c:strRef>
              <c:f>'Branch Pivot'!$V$3:$V$6</c:f>
              <c:strCache>
                <c:ptCount val="1"/>
                <c:pt idx="0">
                  <c:v>April - 2025 - Revenue (SAR)</c:v>
                </c:pt>
              </c:strCache>
            </c:strRef>
          </c:tx>
          <c:spPr>
            <a:noFill/>
            <a:ln w="9525" cap="flat" cmpd="sng" algn="ctr">
              <a:solidFill>
                <a:schemeClr val="accent3">
                  <a:lumMod val="80000"/>
                </a:schemeClr>
              </a:solidFill>
              <a:miter lim="800000"/>
            </a:ln>
            <a:effectLst>
              <a:glow rad="63500">
                <a:schemeClr val="accent3">
                  <a:lumMod val="8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Pivot'!$V$7:$V$17</c:f>
              <c:numCache>
                <c:formatCode>[$⃁-401]\ #,##0.00</c:formatCode>
                <c:ptCount val="10"/>
                <c:pt idx="0">
                  <c:v>2834058</c:v>
                </c:pt>
                <c:pt idx="1">
                  <c:v>3610485</c:v>
                </c:pt>
                <c:pt idx="2">
                  <c:v>2684360</c:v>
                </c:pt>
                <c:pt idx="3">
                  <c:v>1620140</c:v>
                </c:pt>
                <c:pt idx="4">
                  <c:v>2845909</c:v>
                </c:pt>
                <c:pt idx="5">
                  <c:v>1516311</c:v>
                </c:pt>
                <c:pt idx="6">
                  <c:v>2379143</c:v>
                </c:pt>
                <c:pt idx="7">
                  <c:v>2286780</c:v>
                </c:pt>
                <c:pt idx="8">
                  <c:v>3630299</c:v>
                </c:pt>
                <c:pt idx="9">
                  <c:v>3577391</c:v>
                </c:pt>
              </c:numCache>
            </c:numRef>
          </c:val>
          <c:extLst>
            <c:ext xmlns:c16="http://schemas.microsoft.com/office/drawing/2014/chart" uri="{C3380CC4-5D6E-409C-BE32-E72D297353CC}">
              <c16:uniqueId val="{000000A5-253C-4088-94BD-2A11347023B7}"/>
            </c:ext>
          </c:extLst>
        </c:ser>
        <c:ser>
          <c:idx val="21"/>
          <c:order val="21"/>
          <c:tx>
            <c:strRef>
              <c:f>'Branch Pivot'!$W$3:$W$6</c:f>
              <c:strCache>
                <c:ptCount val="1"/>
                <c:pt idx="0">
                  <c:v>April - 2025 - Weight Sold (g)</c:v>
                </c:pt>
              </c:strCache>
            </c:strRef>
          </c:tx>
          <c:spPr>
            <a:noFill/>
            <a:ln w="9525" cap="flat" cmpd="sng" algn="ctr">
              <a:solidFill>
                <a:schemeClr val="accent4">
                  <a:lumMod val="80000"/>
                </a:schemeClr>
              </a:solidFill>
              <a:miter lim="800000"/>
            </a:ln>
            <a:effectLst>
              <a:glow rad="63500">
                <a:schemeClr val="accent4">
                  <a:lumMod val="8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Pivot'!$W$7:$W$17</c:f>
              <c:numCache>
                <c:formatCode>0.00</c:formatCode>
                <c:ptCount val="10"/>
                <c:pt idx="0">
                  <c:v>12388.739999999989</c:v>
                </c:pt>
                <c:pt idx="1">
                  <c:v>9623.350000000004</c:v>
                </c:pt>
                <c:pt idx="2">
                  <c:v>11027.080000000004</c:v>
                </c:pt>
                <c:pt idx="3">
                  <c:v>6720.5700000000079</c:v>
                </c:pt>
                <c:pt idx="4">
                  <c:v>11275.690000000013</c:v>
                </c:pt>
                <c:pt idx="5">
                  <c:v>3414.5800000000017</c:v>
                </c:pt>
                <c:pt idx="6">
                  <c:v>6694.9730000000018</c:v>
                </c:pt>
                <c:pt idx="7">
                  <c:v>11965.854000000014</c:v>
                </c:pt>
                <c:pt idx="8">
                  <c:v>13502.050000000003</c:v>
                </c:pt>
                <c:pt idx="9">
                  <c:v>9107.4060000000118</c:v>
                </c:pt>
              </c:numCache>
            </c:numRef>
          </c:val>
          <c:extLst>
            <c:ext xmlns:c16="http://schemas.microsoft.com/office/drawing/2014/chart" uri="{C3380CC4-5D6E-409C-BE32-E72D297353CC}">
              <c16:uniqueId val="{000000A6-253C-4088-94BD-2A11347023B7}"/>
            </c:ext>
          </c:extLst>
        </c:ser>
        <c:ser>
          <c:idx val="22"/>
          <c:order val="22"/>
          <c:tx>
            <c:strRef>
              <c:f>'Branch Pivot'!$X$3:$X$6</c:f>
              <c:strCache>
                <c:ptCount val="1"/>
                <c:pt idx="0">
                  <c:v>April - 2025 - Transactions</c:v>
                </c:pt>
              </c:strCache>
            </c:strRef>
          </c:tx>
          <c:spPr>
            <a:noFill/>
            <a:ln w="9525" cap="flat" cmpd="sng" algn="ctr">
              <a:solidFill>
                <a:schemeClr val="accent5">
                  <a:lumMod val="80000"/>
                </a:schemeClr>
              </a:solidFill>
              <a:miter lim="800000"/>
            </a:ln>
            <a:effectLst>
              <a:glow rad="63500">
                <a:schemeClr val="accent5">
                  <a:lumMod val="8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Pivot'!$X$7:$X$17</c:f>
              <c:numCache>
                <c:formatCode>General</c:formatCode>
                <c:ptCount val="10"/>
                <c:pt idx="0">
                  <c:v>450</c:v>
                </c:pt>
                <c:pt idx="1">
                  <c:v>605</c:v>
                </c:pt>
                <c:pt idx="2">
                  <c:v>450</c:v>
                </c:pt>
                <c:pt idx="3">
                  <c:v>306</c:v>
                </c:pt>
                <c:pt idx="4">
                  <c:v>395</c:v>
                </c:pt>
                <c:pt idx="5">
                  <c:v>476</c:v>
                </c:pt>
                <c:pt idx="6">
                  <c:v>419</c:v>
                </c:pt>
                <c:pt idx="7">
                  <c:v>380</c:v>
                </c:pt>
                <c:pt idx="8">
                  <c:v>471</c:v>
                </c:pt>
                <c:pt idx="9">
                  <c:v>501</c:v>
                </c:pt>
              </c:numCache>
            </c:numRef>
          </c:val>
          <c:extLst>
            <c:ext xmlns:c16="http://schemas.microsoft.com/office/drawing/2014/chart" uri="{C3380CC4-5D6E-409C-BE32-E72D297353CC}">
              <c16:uniqueId val="{000000A7-253C-4088-94BD-2A11347023B7}"/>
            </c:ext>
          </c:extLst>
        </c:ser>
        <c:ser>
          <c:idx val="23"/>
          <c:order val="23"/>
          <c:tx>
            <c:strRef>
              <c:f>'Branch Pivot'!$Y$3:$Y$6</c:f>
              <c:strCache>
                <c:ptCount val="1"/>
                <c:pt idx="0">
                  <c:v>April - 2025 - Avg Transaction Value</c:v>
                </c:pt>
              </c:strCache>
            </c:strRef>
          </c:tx>
          <c:spPr>
            <a:noFill/>
            <a:ln w="9525" cap="flat" cmpd="sng" algn="ctr">
              <a:solidFill>
                <a:schemeClr val="accent6">
                  <a:lumMod val="80000"/>
                </a:schemeClr>
              </a:solidFill>
              <a:miter lim="800000"/>
            </a:ln>
            <a:effectLst>
              <a:glow rad="63500">
                <a:schemeClr val="accent6">
                  <a:lumMod val="8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Pivot'!$Y$7:$Y$17</c:f>
              <c:numCache>
                <c:formatCode>0.00</c:formatCode>
                <c:ptCount val="10"/>
                <c:pt idx="0">
                  <c:v>6297.91</c:v>
                </c:pt>
                <c:pt idx="1">
                  <c:v>5967.74</c:v>
                </c:pt>
                <c:pt idx="2">
                  <c:v>5965.24</c:v>
                </c:pt>
                <c:pt idx="3">
                  <c:v>5294.58</c:v>
                </c:pt>
                <c:pt idx="4">
                  <c:v>7204.83</c:v>
                </c:pt>
                <c:pt idx="5">
                  <c:v>3185.53</c:v>
                </c:pt>
                <c:pt idx="6">
                  <c:v>5678.15</c:v>
                </c:pt>
                <c:pt idx="7">
                  <c:v>6017.84</c:v>
                </c:pt>
                <c:pt idx="8">
                  <c:v>7707.64</c:v>
                </c:pt>
                <c:pt idx="9">
                  <c:v>7140.5</c:v>
                </c:pt>
              </c:numCache>
            </c:numRef>
          </c:val>
          <c:extLst>
            <c:ext xmlns:c16="http://schemas.microsoft.com/office/drawing/2014/chart" uri="{C3380CC4-5D6E-409C-BE32-E72D297353CC}">
              <c16:uniqueId val="{000000A8-253C-4088-94BD-2A11347023B7}"/>
            </c:ext>
          </c:extLst>
        </c:ser>
        <c:ser>
          <c:idx val="24"/>
          <c:order val="24"/>
          <c:tx>
            <c:strRef>
              <c:f>'Branch Pivot'!$Z$3:$Z$6</c:f>
              <c:strCache>
                <c:ptCount val="1"/>
                <c:pt idx="0">
                  <c:v>May - 2025 - Revenue (SAR)</c:v>
                </c:pt>
              </c:strCache>
            </c:strRef>
          </c:tx>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Pivot'!$Z$7:$Z$17</c:f>
              <c:numCache>
                <c:formatCode>[$⃁-401]\ #,##0.00</c:formatCode>
                <c:ptCount val="10"/>
                <c:pt idx="0">
                  <c:v>3126763</c:v>
                </c:pt>
                <c:pt idx="1">
                  <c:v>3802280</c:v>
                </c:pt>
                <c:pt idx="2">
                  <c:v>2452005</c:v>
                </c:pt>
                <c:pt idx="3">
                  <c:v>1804331</c:v>
                </c:pt>
                <c:pt idx="4">
                  <c:v>2647020</c:v>
                </c:pt>
                <c:pt idx="5">
                  <c:v>1820764</c:v>
                </c:pt>
                <c:pt idx="6">
                  <c:v>2361365</c:v>
                </c:pt>
                <c:pt idx="7">
                  <c:v>2165195</c:v>
                </c:pt>
                <c:pt idx="8">
                  <c:v>4849024</c:v>
                </c:pt>
                <c:pt idx="9">
                  <c:v>4423701</c:v>
                </c:pt>
              </c:numCache>
            </c:numRef>
          </c:val>
          <c:extLst>
            <c:ext xmlns:c16="http://schemas.microsoft.com/office/drawing/2014/chart" uri="{C3380CC4-5D6E-409C-BE32-E72D297353CC}">
              <c16:uniqueId val="{000000A9-253C-4088-94BD-2A11347023B7}"/>
            </c:ext>
          </c:extLst>
        </c:ser>
        <c:ser>
          <c:idx val="25"/>
          <c:order val="25"/>
          <c:tx>
            <c:strRef>
              <c:f>'Branch Pivot'!$AA$3:$AA$6</c:f>
              <c:strCache>
                <c:ptCount val="1"/>
                <c:pt idx="0">
                  <c:v>May - 2025 - Weight Sold (g)</c:v>
                </c:pt>
              </c:strCache>
            </c:strRef>
          </c:tx>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Pivot'!$AA$7:$AA$17</c:f>
              <c:numCache>
                <c:formatCode>0.00</c:formatCode>
                <c:ptCount val="10"/>
                <c:pt idx="0">
                  <c:v>8054.8700000000081</c:v>
                </c:pt>
                <c:pt idx="1">
                  <c:v>10020.650000000005</c:v>
                </c:pt>
                <c:pt idx="2">
                  <c:v>9053.670000000011</c:v>
                </c:pt>
                <c:pt idx="3">
                  <c:v>4144.7720000000008</c:v>
                </c:pt>
                <c:pt idx="4">
                  <c:v>15483.920000000002</c:v>
                </c:pt>
                <c:pt idx="5">
                  <c:v>5987.7199999999984</c:v>
                </c:pt>
                <c:pt idx="6">
                  <c:v>5392.1099999999942</c:v>
                </c:pt>
                <c:pt idx="7">
                  <c:v>5247.8590000000086</c:v>
                </c:pt>
                <c:pt idx="8">
                  <c:v>15474.140000000014</c:v>
                </c:pt>
                <c:pt idx="9">
                  <c:v>11274.420000000015</c:v>
                </c:pt>
              </c:numCache>
            </c:numRef>
          </c:val>
          <c:extLst>
            <c:ext xmlns:c16="http://schemas.microsoft.com/office/drawing/2014/chart" uri="{C3380CC4-5D6E-409C-BE32-E72D297353CC}">
              <c16:uniqueId val="{000000AA-253C-4088-94BD-2A11347023B7}"/>
            </c:ext>
          </c:extLst>
        </c:ser>
        <c:ser>
          <c:idx val="26"/>
          <c:order val="26"/>
          <c:tx>
            <c:strRef>
              <c:f>'Branch Pivot'!$AB$3:$AB$6</c:f>
              <c:strCache>
                <c:ptCount val="1"/>
                <c:pt idx="0">
                  <c:v>May - 2025 - Transactions</c:v>
                </c:pt>
              </c:strCache>
            </c:strRef>
          </c:tx>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Pivot'!$AB$7:$AB$17</c:f>
              <c:numCache>
                <c:formatCode>General</c:formatCode>
                <c:ptCount val="10"/>
                <c:pt idx="0">
                  <c:v>520</c:v>
                </c:pt>
                <c:pt idx="1">
                  <c:v>724</c:v>
                </c:pt>
                <c:pt idx="2">
                  <c:v>516</c:v>
                </c:pt>
                <c:pt idx="3">
                  <c:v>341</c:v>
                </c:pt>
                <c:pt idx="4">
                  <c:v>438</c:v>
                </c:pt>
                <c:pt idx="5">
                  <c:v>625</c:v>
                </c:pt>
                <c:pt idx="6">
                  <c:v>478</c:v>
                </c:pt>
                <c:pt idx="7">
                  <c:v>433</c:v>
                </c:pt>
                <c:pt idx="8">
                  <c:v>537</c:v>
                </c:pt>
                <c:pt idx="9">
                  <c:v>656</c:v>
                </c:pt>
              </c:numCache>
            </c:numRef>
          </c:val>
          <c:extLst>
            <c:ext xmlns:c16="http://schemas.microsoft.com/office/drawing/2014/chart" uri="{C3380CC4-5D6E-409C-BE32-E72D297353CC}">
              <c16:uniqueId val="{000000AB-253C-4088-94BD-2A11347023B7}"/>
            </c:ext>
          </c:extLst>
        </c:ser>
        <c:ser>
          <c:idx val="27"/>
          <c:order val="27"/>
          <c:tx>
            <c:strRef>
              <c:f>'Branch Pivot'!$AC$3:$AC$6</c:f>
              <c:strCache>
                <c:ptCount val="1"/>
                <c:pt idx="0">
                  <c:v>May - 2025 - Avg Transaction Value</c:v>
                </c:pt>
              </c:strCache>
            </c:strRef>
          </c:tx>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Pivot'!$AC$7:$AC$17</c:f>
              <c:numCache>
                <c:formatCode>0.00</c:formatCode>
                <c:ptCount val="10"/>
                <c:pt idx="0">
                  <c:v>6013.01</c:v>
                </c:pt>
                <c:pt idx="1">
                  <c:v>5251.77</c:v>
                </c:pt>
                <c:pt idx="2">
                  <c:v>4751.95</c:v>
                </c:pt>
                <c:pt idx="3">
                  <c:v>5291.29</c:v>
                </c:pt>
                <c:pt idx="4">
                  <c:v>6043.42</c:v>
                </c:pt>
                <c:pt idx="5">
                  <c:v>2913.22</c:v>
                </c:pt>
                <c:pt idx="6">
                  <c:v>4940.09</c:v>
                </c:pt>
                <c:pt idx="7">
                  <c:v>5000.45</c:v>
                </c:pt>
                <c:pt idx="8">
                  <c:v>9029.84</c:v>
                </c:pt>
                <c:pt idx="9">
                  <c:v>6743.45</c:v>
                </c:pt>
              </c:numCache>
            </c:numRef>
          </c:val>
          <c:extLst>
            <c:ext xmlns:c16="http://schemas.microsoft.com/office/drawing/2014/chart" uri="{C3380CC4-5D6E-409C-BE32-E72D297353CC}">
              <c16:uniqueId val="{000000AC-253C-4088-94BD-2A11347023B7}"/>
            </c:ext>
          </c:extLst>
        </c:ser>
        <c:ser>
          <c:idx val="28"/>
          <c:order val="28"/>
          <c:tx>
            <c:strRef>
              <c:f>'Branch Pivot'!$AD$3:$AD$6</c:f>
              <c:strCache>
                <c:ptCount val="1"/>
                <c:pt idx="0">
                  <c:v>June - 2025 - Revenue (SAR)</c:v>
                </c:pt>
              </c:strCache>
            </c:strRef>
          </c:tx>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Pivot'!$AD$7:$AD$17</c:f>
              <c:numCache>
                <c:formatCode>[$⃁-401]\ #,##0.00</c:formatCode>
                <c:ptCount val="10"/>
                <c:pt idx="0">
                  <c:v>2119346</c:v>
                </c:pt>
                <c:pt idx="1">
                  <c:v>2498220</c:v>
                </c:pt>
                <c:pt idx="2">
                  <c:v>1668087</c:v>
                </c:pt>
                <c:pt idx="3">
                  <c:v>1218640</c:v>
                </c:pt>
                <c:pt idx="4">
                  <c:v>1391570</c:v>
                </c:pt>
                <c:pt idx="5">
                  <c:v>1842641</c:v>
                </c:pt>
                <c:pt idx="6">
                  <c:v>1704910</c:v>
                </c:pt>
                <c:pt idx="7">
                  <c:v>1550850</c:v>
                </c:pt>
                <c:pt idx="8">
                  <c:v>2438467</c:v>
                </c:pt>
                <c:pt idx="9">
                  <c:v>2773682</c:v>
                </c:pt>
              </c:numCache>
            </c:numRef>
          </c:val>
          <c:extLst>
            <c:ext xmlns:c16="http://schemas.microsoft.com/office/drawing/2014/chart" uri="{C3380CC4-5D6E-409C-BE32-E72D297353CC}">
              <c16:uniqueId val="{000000AD-253C-4088-94BD-2A11347023B7}"/>
            </c:ext>
          </c:extLst>
        </c:ser>
        <c:ser>
          <c:idx val="29"/>
          <c:order val="29"/>
          <c:tx>
            <c:strRef>
              <c:f>'Branch Pivot'!$AE$3:$AE$6</c:f>
              <c:strCache>
                <c:ptCount val="1"/>
                <c:pt idx="0">
                  <c:v>June - 2025 - Weight Sold (g)</c:v>
                </c:pt>
              </c:strCache>
            </c:strRef>
          </c:tx>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Pivot'!$AE$7:$AE$17</c:f>
              <c:numCache>
                <c:formatCode>0.00</c:formatCode>
                <c:ptCount val="10"/>
                <c:pt idx="0">
                  <c:v>6304.5200000000023</c:v>
                </c:pt>
                <c:pt idx="1">
                  <c:v>6339.0299999999961</c:v>
                </c:pt>
                <c:pt idx="2">
                  <c:v>4191.9599999999991</c:v>
                </c:pt>
                <c:pt idx="3">
                  <c:v>2761.8400000000006</c:v>
                </c:pt>
                <c:pt idx="4">
                  <c:v>4652.6800000000048</c:v>
                </c:pt>
                <c:pt idx="5">
                  <c:v>4015.7199999999948</c:v>
                </c:pt>
                <c:pt idx="6">
                  <c:v>5970.329999999999</c:v>
                </c:pt>
                <c:pt idx="7">
                  <c:v>3584.2300000000018</c:v>
                </c:pt>
                <c:pt idx="8">
                  <c:v>7180.520000000005</c:v>
                </c:pt>
                <c:pt idx="9">
                  <c:v>7061.5000000000064</c:v>
                </c:pt>
              </c:numCache>
            </c:numRef>
          </c:val>
          <c:extLst>
            <c:ext xmlns:c16="http://schemas.microsoft.com/office/drawing/2014/chart" uri="{C3380CC4-5D6E-409C-BE32-E72D297353CC}">
              <c16:uniqueId val="{000000AE-253C-4088-94BD-2A11347023B7}"/>
            </c:ext>
          </c:extLst>
        </c:ser>
        <c:ser>
          <c:idx val="30"/>
          <c:order val="30"/>
          <c:tx>
            <c:strRef>
              <c:f>'Branch Pivot'!$AF$3:$AF$6</c:f>
              <c:strCache>
                <c:ptCount val="1"/>
                <c:pt idx="0">
                  <c:v>June - 2025 - Transactions</c:v>
                </c:pt>
              </c:strCache>
            </c:strRef>
          </c:tx>
          <c:spPr>
            <a:noFill/>
            <a:ln w="9525" cap="flat" cmpd="sng" algn="ctr">
              <a:solidFill>
                <a:schemeClr val="accent1">
                  <a:lumMod val="50000"/>
                </a:schemeClr>
              </a:solidFill>
              <a:miter lim="800000"/>
            </a:ln>
            <a:effectLst>
              <a:glow rad="63500">
                <a:schemeClr val="accent1">
                  <a:lumMod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Pivot'!$AF$7:$AF$17</c:f>
              <c:numCache>
                <c:formatCode>General</c:formatCode>
                <c:ptCount val="10"/>
                <c:pt idx="0">
                  <c:v>341</c:v>
                </c:pt>
                <c:pt idx="1">
                  <c:v>500</c:v>
                </c:pt>
                <c:pt idx="2">
                  <c:v>295</c:v>
                </c:pt>
                <c:pt idx="3">
                  <c:v>255</c:v>
                </c:pt>
                <c:pt idx="4">
                  <c:v>243</c:v>
                </c:pt>
                <c:pt idx="5">
                  <c:v>563</c:v>
                </c:pt>
                <c:pt idx="6">
                  <c:v>391</c:v>
                </c:pt>
                <c:pt idx="7">
                  <c:v>292</c:v>
                </c:pt>
                <c:pt idx="8">
                  <c:v>343</c:v>
                </c:pt>
                <c:pt idx="9">
                  <c:v>407</c:v>
                </c:pt>
              </c:numCache>
            </c:numRef>
          </c:val>
          <c:extLst>
            <c:ext xmlns:c16="http://schemas.microsoft.com/office/drawing/2014/chart" uri="{C3380CC4-5D6E-409C-BE32-E72D297353CC}">
              <c16:uniqueId val="{000000AF-253C-4088-94BD-2A11347023B7}"/>
            </c:ext>
          </c:extLst>
        </c:ser>
        <c:ser>
          <c:idx val="31"/>
          <c:order val="31"/>
          <c:tx>
            <c:strRef>
              <c:f>'Branch Pivot'!$AG$3:$AG$6</c:f>
              <c:strCache>
                <c:ptCount val="1"/>
                <c:pt idx="0">
                  <c:v>June - 2025 - Avg Transaction Value</c:v>
                </c:pt>
              </c:strCache>
            </c:strRef>
          </c:tx>
          <c:spPr>
            <a:noFill/>
            <a:ln w="9525" cap="flat" cmpd="sng" algn="ctr">
              <a:solidFill>
                <a:schemeClr val="accent2">
                  <a:lumMod val="50000"/>
                </a:schemeClr>
              </a:solidFill>
              <a:miter lim="800000"/>
            </a:ln>
            <a:effectLst>
              <a:glow rad="63500">
                <a:schemeClr val="accent2">
                  <a:lumMod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Pivot'!$AG$7:$AG$17</c:f>
              <c:numCache>
                <c:formatCode>0.00</c:formatCode>
                <c:ptCount val="10"/>
                <c:pt idx="0">
                  <c:v>6215.09</c:v>
                </c:pt>
                <c:pt idx="1">
                  <c:v>4996.4399999999996</c:v>
                </c:pt>
                <c:pt idx="2">
                  <c:v>5654.53</c:v>
                </c:pt>
                <c:pt idx="3">
                  <c:v>4778.9799999999996</c:v>
                </c:pt>
                <c:pt idx="4">
                  <c:v>5726.63</c:v>
                </c:pt>
                <c:pt idx="5">
                  <c:v>3272.9</c:v>
                </c:pt>
                <c:pt idx="6">
                  <c:v>4360.38</c:v>
                </c:pt>
                <c:pt idx="7">
                  <c:v>5311.13</c:v>
                </c:pt>
                <c:pt idx="8">
                  <c:v>7109.23</c:v>
                </c:pt>
                <c:pt idx="9">
                  <c:v>6814.94</c:v>
                </c:pt>
              </c:numCache>
            </c:numRef>
          </c:val>
          <c:extLst>
            <c:ext xmlns:c16="http://schemas.microsoft.com/office/drawing/2014/chart" uri="{C3380CC4-5D6E-409C-BE32-E72D297353CC}">
              <c16:uniqueId val="{000000B0-253C-4088-94BD-2A11347023B7}"/>
            </c:ext>
          </c:extLst>
        </c:ser>
        <c:ser>
          <c:idx val="32"/>
          <c:order val="32"/>
          <c:tx>
            <c:strRef>
              <c:f>'Branch Pivot'!$AH$3:$AH$6</c:f>
              <c:strCache>
                <c:ptCount val="1"/>
                <c:pt idx="0">
                  <c:v>July - 2025 - Revenue (SAR)</c:v>
                </c:pt>
              </c:strCache>
            </c:strRef>
          </c:tx>
          <c:spPr>
            <a:noFill/>
            <a:ln w="9525" cap="flat" cmpd="sng" algn="ctr">
              <a:solidFill>
                <a:schemeClr val="accent3">
                  <a:lumMod val="50000"/>
                </a:schemeClr>
              </a:solidFill>
              <a:miter lim="800000"/>
            </a:ln>
            <a:effectLst>
              <a:glow rad="63500">
                <a:schemeClr val="accent3">
                  <a:lumMod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Pivot'!$AH$7:$AH$17</c:f>
              <c:numCache>
                <c:formatCode>[$⃁-401]\ #,##0.00</c:formatCode>
                <c:ptCount val="10"/>
                <c:pt idx="0">
                  <c:v>1475297</c:v>
                </c:pt>
                <c:pt idx="1">
                  <c:v>1843320</c:v>
                </c:pt>
                <c:pt idx="2">
                  <c:v>1440420</c:v>
                </c:pt>
                <c:pt idx="3">
                  <c:v>1410468</c:v>
                </c:pt>
                <c:pt idx="4">
                  <c:v>1152750</c:v>
                </c:pt>
                <c:pt idx="5">
                  <c:v>1519037</c:v>
                </c:pt>
                <c:pt idx="6">
                  <c:v>1822722</c:v>
                </c:pt>
                <c:pt idx="7">
                  <c:v>1180500</c:v>
                </c:pt>
                <c:pt idx="8">
                  <c:v>2235970</c:v>
                </c:pt>
                <c:pt idx="9">
                  <c:v>1807820</c:v>
                </c:pt>
              </c:numCache>
            </c:numRef>
          </c:val>
          <c:extLst>
            <c:ext xmlns:c16="http://schemas.microsoft.com/office/drawing/2014/chart" uri="{C3380CC4-5D6E-409C-BE32-E72D297353CC}">
              <c16:uniqueId val="{000000B1-253C-4088-94BD-2A11347023B7}"/>
            </c:ext>
          </c:extLst>
        </c:ser>
        <c:ser>
          <c:idx val="33"/>
          <c:order val="33"/>
          <c:tx>
            <c:strRef>
              <c:f>'Branch Pivot'!$AI$3:$AI$6</c:f>
              <c:strCache>
                <c:ptCount val="1"/>
                <c:pt idx="0">
                  <c:v>July - 2025 - Weight Sold (g)</c:v>
                </c:pt>
              </c:strCache>
            </c:strRef>
          </c:tx>
          <c:spPr>
            <a:noFill/>
            <a:ln w="9525" cap="flat" cmpd="sng" algn="ctr">
              <a:solidFill>
                <a:schemeClr val="accent4">
                  <a:lumMod val="50000"/>
                </a:schemeClr>
              </a:solidFill>
              <a:miter lim="800000"/>
            </a:ln>
            <a:effectLst>
              <a:glow rad="63500">
                <a:schemeClr val="accent4">
                  <a:lumMod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Pivot'!$AI$7:$AI$17</c:f>
              <c:numCache>
                <c:formatCode>0.00</c:formatCode>
                <c:ptCount val="10"/>
                <c:pt idx="0">
                  <c:v>3877.9599999999987</c:v>
                </c:pt>
                <c:pt idx="1">
                  <c:v>6694.5200000000041</c:v>
                </c:pt>
                <c:pt idx="2">
                  <c:v>4460.239999999998</c:v>
                </c:pt>
                <c:pt idx="3">
                  <c:v>3247.4999999999991</c:v>
                </c:pt>
                <c:pt idx="4">
                  <c:v>3939.9499999999994</c:v>
                </c:pt>
                <c:pt idx="5">
                  <c:v>3271.8899999999967</c:v>
                </c:pt>
                <c:pt idx="6">
                  <c:v>3916.5099999999961</c:v>
                </c:pt>
                <c:pt idx="7">
                  <c:v>2809.9999999999986</c:v>
                </c:pt>
                <c:pt idx="8">
                  <c:v>5860.3600000000015</c:v>
                </c:pt>
                <c:pt idx="9">
                  <c:v>4692.5899999999992</c:v>
                </c:pt>
              </c:numCache>
            </c:numRef>
          </c:val>
          <c:extLst>
            <c:ext xmlns:c16="http://schemas.microsoft.com/office/drawing/2014/chart" uri="{C3380CC4-5D6E-409C-BE32-E72D297353CC}">
              <c16:uniqueId val="{000000B2-253C-4088-94BD-2A11347023B7}"/>
            </c:ext>
          </c:extLst>
        </c:ser>
        <c:ser>
          <c:idx val="34"/>
          <c:order val="34"/>
          <c:tx>
            <c:strRef>
              <c:f>'Branch Pivot'!$AJ$3:$AJ$6</c:f>
              <c:strCache>
                <c:ptCount val="1"/>
                <c:pt idx="0">
                  <c:v>July - 2025 - Transactions</c:v>
                </c:pt>
              </c:strCache>
            </c:strRef>
          </c:tx>
          <c:spPr>
            <a:noFill/>
            <a:ln w="9525" cap="flat" cmpd="sng" algn="ctr">
              <a:solidFill>
                <a:schemeClr val="accent5">
                  <a:lumMod val="50000"/>
                </a:schemeClr>
              </a:solidFill>
              <a:miter lim="800000"/>
            </a:ln>
            <a:effectLst>
              <a:glow rad="63500">
                <a:schemeClr val="accent5">
                  <a:lumMod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Pivot'!$AJ$7:$AJ$17</c:f>
              <c:numCache>
                <c:formatCode>General</c:formatCode>
                <c:ptCount val="10"/>
                <c:pt idx="0">
                  <c:v>289</c:v>
                </c:pt>
                <c:pt idx="1">
                  <c:v>380</c:v>
                </c:pt>
                <c:pt idx="2">
                  <c:v>275</c:v>
                </c:pt>
                <c:pt idx="3">
                  <c:v>264</c:v>
                </c:pt>
                <c:pt idx="4">
                  <c:v>210</c:v>
                </c:pt>
                <c:pt idx="5">
                  <c:v>470</c:v>
                </c:pt>
                <c:pt idx="6">
                  <c:v>359</c:v>
                </c:pt>
                <c:pt idx="7">
                  <c:v>275</c:v>
                </c:pt>
                <c:pt idx="8">
                  <c:v>247</c:v>
                </c:pt>
                <c:pt idx="9">
                  <c:v>311</c:v>
                </c:pt>
              </c:numCache>
            </c:numRef>
          </c:val>
          <c:extLst>
            <c:ext xmlns:c16="http://schemas.microsoft.com/office/drawing/2014/chart" uri="{C3380CC4-5D6E-409C-BE32-E72D297353CC}">
              <c16:uniqueId val="{000000B3-253C-4088-94BD-2A11347023B7}"/>
            </c:ext>
          </c:extLst>
        </c:ser>
        <c:ser>
          <c:idx val="35"/>
          <c:order val="35"/>
          <c:tx>
            <c:strRef>
              <c:f>'Branch Pivot'!$AK$3:$AK$6</c:f>
              <c:strCache>
                <c:ptCount val="1"/>
                <c:pt idx="0">
                  <c:v>July - 2025 - Avg Transaction Value</c:v>
                </c:pt>
              </c:strCache>
            </c:strRef>
          </c:tx>
          <c:spPr>
            <a:noFill/>
            <a:ln w="9525" cap="flat" cmpd="sng" algn="ctr">
              <a:solidFill>
                <a:schemeClr val="accent6">
                  <a:lumMod val="50000"/>
                </a:schemeClr>
              </a:solidFill>
              <a:miter lim="800000"/>
            </a:ln>
            <a:effectLst>
              <a:glow rad="63500">
                <a:schemeClr val="accent6">
                  <a:lumMod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Pivot'!$AK$7:$AK$17</c:f>
              <c:numCache>
                <c:formatCode>0.00</c:formatCode>
                <c:ptCount val="10"/>
                <c:pt idx="0">
                  <c:v>5104.83</c:v>
                </c:pt>
                <c:pt idx="1">
                  <c:v>4850.84</c:v>
                </c:pt>
                <c:pt idx="2">
                  <c:v>5237.8900000000003</c:v>
                </c:pt>
                <c:pt idx="3">
                  <c:v>5342.68</c:v>
                </c:pt>
                <c:pt idx="4">
                  <c:v>5489.29</c:v>
                </c:pt>
                <c:pt idx="5">
                  <c:v>3231.99</c:v>
                </c:pt>
                <c:pt idx="6">
                  <c:v>5077.22</c:v>
                </c:pt>
                <c:pt idx="7">
                  <c:v>4292.7299999999996</c:v>
                </c:pt>
                <c:pt idx="8">
                  <c:v>9052.51</c:v>
                </c:pt>
                <c:pt idx="9">
                  <c:v>5812.93</c:v>
                </c:pt>
              </c:numCache>
            </c:numRef>
          </c:val>
          <c:extLst>
            <c:ext xmlns:c16="http://schemas.microsoft.com/office/drawing/2014/chart" uri="{C3380CC4-5D6E-409C-BE32-E72D297353CC}">
              <c16:uniqueId val="{000000B4-253C-4088-94BD-2A11347023B7}"/>
            </c:ext>
          </c:extLst>
        </c:ser>
        <c:ser>
          <c:idx val="36"/>
          <c:order val="36"/>
          <c:tx>
            <c:strRef>
              <c:f>'Branch Pivot'!$AL$3:$AL$6</c:f>
              <c:strCache>
                <c:ptCount val="1"/>
                <c:pt idx="0">
                  <c:v>August - 2025 - Revenue (SAR)</c:v>
                </c:pt>
              </c:strCache>
            </c:strRef>
          </c:tx>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Pivot'!$AL$7:$AL$17</c:f>
              <c:numCache>
                <c:formatCode>[$⃁-401]\ #,##0.00</c:formatCode>
                <c:ptCount val="10"/>
                <c:pt idx="0">
                  <c:v>1388511</c:v>
                </c:pt>
                <c:pt idx="1">
                  <c:v>1778245</c:v>
                </c:pt>
                <c:pt idx="2">
                  <c:v>1793020</c:v>
                </c:pt>
                <c:pt idx="3">
                  <c:v>1303100</c:v>
                </c:pt>
                <c:pt idx="4">
                  <c:v>1252938</c:v>
                </c:pt>
                <c:pt idx="5">
                  <c:v>1658296</c:v>
                </c:pt>
                <c:pt idx="6">
                  <c:v>1484339</c:v>
                </c:pt>
                <c:pt idx="7">
                  <c:v>1362815</c:v>
                </c:pt>
                <c:pt idx="8">
                  <c:v>2900660</c:v>
                </c:pt>
                <c:pt idx="9">
                  <c:v>2010867</c:v>
                </c:pt>
              </c:numCache>
            </c:numRef>
          </c:val>
          <c:extLst>
            <c:ext xmlns:c16="http://schemas.microsoft.com/office/drawing/2014/chart" uri="{C3380CC4-5D6E-409C-BE32-E72D297353CC}">
              <c16:uniqueId val="{000000B5-253C-4088-94BD-2A11347023B7}"/>
            </c:ext>
          </c:extLst>
        </c:ser>
        <c:ser>
          <c:idx val="37"/>
          <c:order val="37"/>
          <c:tx>
            <c:strRef>
              <c:f>'Branch Pivot'!$AM$3:$AM$6</c:f>
              <c:strCache>
                <c:ptCount val="1"/>
                <c:pt idx="0">
                  <c:v>August - 2025 - Weight Sold (g)</c:v>
                </c:pt>
              </c:strCache>
            </c:strRef>
          </c:tx>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Pivot'!$AM$7:$AM$17</c:f>
              <c:numCache>
                <c:formatCode>0.00</c:formatCode>
                <c:ptCount val="10"/>
                <c:pt idx="0">
                  <c:v>3414.5499999999984</c:v>
                </c:pt>
                <c:pt idx="1">
                  <c:v>4347.220000000003</c:v>
                </c:pt>
                <c:pt idx="2">
                  <c:v>4396.0899999999983</c:v>
                </c:pt>
                <c:pt idx="3">
                  <c:v>5927.0600000000022</c:v>
                </c:pt>
                <c:pt idx="4">
                  <c:v>3179.9799999999991</c:v>
                </c:pt>
                <c:pt idx="5">
                  <c:v>3527.6799999999976</c:v>
                </c:pt>
                <c:pt idx="6">
                  <c:v>6074.2999999999984</c:v>
                </c:pt>
                <c:pt idx="7">
                  <c:v>3181.3799999999983</c:v>
                </c:pt>
                <c:pt idx="8">
                  <c:v>8341.8199999999906</c:v>
                </c:pt>
                <c:pt idx="9">
                  <c:v>6938.0900000000011</c:v>
                </c:pt>
              </c:numCache>
            </c:numRef>
          </c:val>
          <c:extLst>
            <c:ext xmlns:c16="http://schemas.microsoft.com/office/drawing/2014/chart" uri="{C3380CC4-5D6E-409C-BE32-E72D297353CC}">
              <c16:uniqueId val="{000000B6-253C-4088-94BD-2A11347023B7}"/>
            </c:ext>
          </c:extLst>
        </c:ser>
        <c:ser>
          <c:idx val="38"/>
          <c:order val="38"/>
          <c:tx>
            <c:strRef>
              <c:f>'Branch Pivot'!$AN$3:$AN$6</c:f>
              <c:strCache>
                <c:ptCount val="1"/>
                <c:pt idx="0">
                  <c:v>August - 2025 - Transactions</c:v>
                </c:pt>
              </c:strCache>
            </c:strRef>
          </c:tx>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Pivot'!$AN$7:$AN$17</c:f>
              <c:numCache>
                <c:formatCode>General</c:formatCode>
                <c:ptCount val="10"/>
                <c:pt idx="0">
                  <c:v>258</c:v>
                </c:pt>
                <c:pt idx="1">
                  <c:v>382</c:v>
                </c:pt>
                <c:pt idx="2">
                  <c:v>374</c:v>
                </c:pt>
                <c:pt idx="3">
                  <c:v>295</c:v>
                </c:pt>
                <c:pt idx="4">
                  <c:v>209</c:v>
                </c:pt>
                <c:pt idx="5">
                  <c:v>514</c:v>
                </c:pt>
                <c:pt idx="6">
                  <c:v>341</c:v>
                </c:pt>
                <c:pt idx="7">
                  <c:v>306</c:v>
                </c:pt>
                <c:pt idx="8">
                  <c:v>253</c:v>
                </c:pt>
                <c:pt idx="9">
                  <c:v>360</c:v>
                </c:pt>
              </c:numCache>
            </c:numRef>
          </c:val>
          <c:extLst>
            <c:ext xmlns:c16="http://schemas.microsoft.com/office/drawing/2014/chart" uri="{C3380CC4-5D6E-409C-BE32-E72D297353CC}">
              <c16:uniqueId val="{000000B7-253C-4088-94BD-2A11347023B7}"/>
            </c:ext>
          </c:extLst>
        </c:ser>
        <c:ser>
          <c:idx val="39"/>
          <c:order val="39"/>
          <c:tx>
            <c:strRef>
              <c:f>'Branch Pivot'!$AO$3:$AO$6</c:f>
              <c:strCache>
                <c:ptCount val="1"/>
                <c:pt idx="0">
                  <c:v>August - 2025 - Avg Transaction Value</c:v>
                </c:pt>
              </c:strCache>
            </c:strRef>
          </c:tx>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Pivot'!$AO$7:$AO$17</c:f>
              <c:numCache>
                <c:formatCode>0.00</c:formatCode>
                <c:ptCount val="10"/>
                <c:pt idx="0">
                  <c:v>5381.83</c:v>
                </c:pt>
                <c:pt idx="1">
                  <c:v>4655.09</c:v>
                </c:pt>
                <c:pt idx="2">
                  <c:v>4794.17</c:v>
                </c:pt>
                <c:pt idx="3">
                  <c:v>4417.29</c:v>
                </c:pt>
                <c:pt idx="4">
                  <c:v>5994.92</c:v>
                </c:pt>
                <c:pt idx="5">
                  <c:v>3226.26</c:v>
                </c:pt>
                <c:pt idx="6">
                  <c:v>4352.8999999999996</c:v>
                </c:pt>
                <c:pt idx="7">
                  <c:v>4453.6400000000003</c:v>
                </c:pt>
                <c:pt idx="8">
                  <c:v>11465.06</c:v>
                </c:pt>
                <c:pt idx="9">
                  <c:v>5585.74</c:v>
                </c:pt>
              </c:numCache>
            </c:numRef>
          </c:val>
          <c:extLst>
            <c:ext xmlns:c16="http://schemas.microsoft.com/office/drawing/2014/chart" uri="{C3380CC4-5D6E-409C-BE32-E72D297353CC}">
              <c16:uniqueId val="{000000B8-253C-4088-94BD-2A11347023B7}"/>
            </c:ext>
          </c:extLst>
        </c:ser>
        <c:ser>
          <c:idx val="40"/>
          <c:order val="40"/>
          <c:tx>
            <c:strRef>
              <c:f>'Branch Pivot'!$AP$3:$AP$6</c:f>
              <c:strCache>
                <c:ptCount val="1"/>
                <c:pt idx="0">
                  <c:v>September - 2025 - Revenue (SAR)</c:v>
                </c:pt>
              </c:strCache>
            </c:strRef>
          </c:tx>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Pivot'!$AP$7:$AP$17</c:f>
              <c:numCache>
                <c:formatCode>[$⃁-401]\ #,##0.00</c:formatCode>
                <c:ptCount val="10"/>
                <c:pt idx="0">
                  <c:v>2860385</c:v>
                </c:pt>
                <c:pt idx="1">
                  <c:v>2398340</c:v>
                </c:pt>
                <c:pt idx="2">
                  <c:v>1624852</c:v>
                </c:pt>
                <c:pt idx="3">
                  <c:v>1154971</c:v>
                </c:pt>
                <c:pt idx="4">
                  <c:v>1796990</c:v>
                </c:pt>
                <c:pt idx="5">
                  <c:v>2393485</c:v>
                </c:pt>
                <c:pt idx="6">
                  <c:v>2136445</c:v>
                </c:pt>
                <c:pt idx="7">
                  <c:v>1182282</c:v>
                </c:pt>
                <c:pt idx="8">
                  <c:v>2994530.8</c:v>
                </c:pt>
                <c:pt idx="9">
                  <c:v>2001533</c:v>
                </c:pt>
              </c:numCache>
            </c:numRef>
          </c:val>
          <c:extLst>
            <c:ext xmlns:c16="http://schemas.microsoft.com/office/drawing/2014/chart" uri="{C3380CC4-5D6E-409C-BE32-E72D297353CC}">
              <c16:uniqueId val="{000000B9-253C-4088-94BD-2A11347023B7}"/>
            </c:ext>
          </c:extLst>
        </c:ser>
        <c:ser>
          <c:idx val="41"/>
          <c:order val="41"/>
          <c:tx>
            <c:strRef>
              <c:f>'Branch Pivot'!$AQ$3:$AQ$6</c:f>
              <c:strCache>
                <c:ptCount val="1"/>
                <c:pt idx="0">
                  <c:v>September - 2025 - Weight Sold (g)</c:v>
                </c:pt>
              </c:strCache>
            </c:strRef>
          </c:tx>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Pivot'!$AQ$7:$AQ$17</c:f>
              <c:numCache>
                <c:formatCode>0.00</c:formatCode>
                <c:ptCount val="10"/>
                <c:pt idx="0">
                  <c:v>6522.0499999999965</c:v>
                </c:pt>
                <c:pt idx="1">
                  <c:v>8357.2100000000028</c:v>
                </c:pt>
                <c:pt idx="2">
                  <c:v>3649.7900000000013</c:v>
                </c:pt>
                <c:pt idx="3">
                  <c:v>3444.3000000000011</c:v>
                </c:pt>
                <c:pt idx="4">
                  <c:v>7240.2900000000009</c:v>
                </c:pt>
                <c:pt idx="5">
                  <c:v>11057.010000000006</c:v>
                </c:pt>
                <c:pt idx="6">
                  <c:v>11253.429999999998</c:v>
                </c:pt>
                <c:pt idx="7">
                  <c:v>13035.720000000003</c:v>
                </c:pt>
                <c:pt idx="8">
                  <c:v>7991.6800000000085</c:v>
                </c:pt>
                <c:pt idx="9">
                  <c:v>5486.480000000005</c:v>
                </c:pt>
              </c:numCache>
            </c:numRef>
          </c:val>
          <c:extLst>
            <c:ext xmlns:c16="http://schemas.microsoft.com/office/drawing/2014/chart" uri="{C3380CC4-5D6E-409C-BE32-E72D297353CC}">
              <c16:uniqueId val="{000000BA-253C-4088-94BD-2A11347023B7}"/>
            </c:ext>
          </c:extLst>
        </c:ser>
        <c:ser>
          <c:idx val="42"/>
          <c:order val="42"/>
          <c:tx>
            <c:strRef>
              <c:f>'Branch Pivot'!$AR$3:$AR$6</c:f>
              <c:strCache>
                <c:ptCount val="1"/>
                <c:pt idx="0">
                  <c:v>September - 2025 - Transactions</c:v>
                </c:pt>
              </c:strCache>
            </c:strRef>
          </c:tx>
          <c:spPr>
            <a:noFill/>
            <a:ln w="9525" cap="flat" cmpd="sng" algn="ctr">
              <a:solidFill>
                <a:schemeClr val="accent1">
                  <a:lumMod val="70000"/>
                </a:schemeClr>
              </a:solidFill>
              <a:miter lim="800000"/>
            </a:ln>
            <a:effectLst>
              <a:glow rad="63500">
                <a:schemeClr val="accent1">
                  <a:lumMod val="7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Pivot'!$AR$7:$AR$17</c:f>
              <c:numCache>
                <c:formatCode>General</c:formatCode>
                <c:ptCount val="10"/>
                <c:pt idx="0">
                  <c:v>324</c:v>
                </c:pt>
                <c:pt idx="1">
                  <c:v>406</c:v>
                </c:pt>
                <c:pt idx="2">
                  <c:v>322</c:v>
                </c:pt>
                <c:pt idx="3">
                  <c:v>275</c:v>
                </c:pt>
                <c:pt idx="4">
                  <c:v>270</c:v>
                </c:pt>
                <c:pt idx="5">
                  <c:v>650</c:v>
                </c:pt>
                <c:pt idx="6">
                  <c:v>371</c:v>
                </c:pt>
                <c:pt idx="7">
                  <c:v>310</c:v>
                </c:pt>
                <c:pt idx="8">
                  <c:v>370</c:v>
                </c:pt>
                <c:pt idx="9">
                  <c:v>361</c:v>
                </c:pt>
              </c:numCache>
            </c:numRef>
          </c:val>
          <c:extLst>
            <c:ext xmlns:c16="http://schemas.microsoft.com/office/drawing/2014/chart" uri="{C3380CC4-5D6E-409C-BE32-E72D297353CC}">
              <c16:uniqueId val="{000000BB-253C-4088-94BD-2A11347023B7}"/>
            </c:ext>
          </c:extLst>
        </c:ser>
        <c:ser>
          <c:idx val="43"/>
          <c:order val="43"/>
          <c:tx>
            <c:strRef>
              <c:f>'Branch Pivot'!$AS$3:$AS$6</c:f>
              <c:strCache>
                <c:ptCount val="1"/>
                <c:pt idx="0">
                  <c:v>September - 2025 - Avg Transaction Value</c:v>
                </c:pt>
              </c:strCache>
            </c:strRef>
          </c:tx>
          <c:spPr>
            <a:noFill/>
            <a:ln w="9525" cap="flat" cmpd="sng" algn="ctr">
              <a:solidFill>
                <a:schemeClr val="accent2">
                  <a:lumMod val="70000"/>
                </a:schemeClr>
              </a:solidFill>
              <a:miter lim="800000"/>
            </a:ln>
            <a:effectLst>
              <a:glow rad="63500">
                <a:schemeClr val="accent2">
                  <a:lumMod val="7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Pivot'!$AS$7:$AS$17</c:f>
              <c:numCache>
                <c:formatCode>0.00</c:formatCode>
                <c:ptCount val="10"/>
                <c:pt idx="0">
                  <c:v>8828.35</c:v>
                </c:pt>
                <c:pt idx="1">
                  <c:v>5907.24</c:v>
                </c:pt>
                <c:pt idx="2">
                  <c:v>5046.12</c:v>
                </c:pt>
                <c:pt idx="3">
                  <c:v>4199.8900000000003</c:v>
                </c:pt>
                <c:pt idx="4">
                  <c:v>6655.52</c:v>
                </c:pt>
                <c:pt idx="5">
                  <c:v>3682.28</c:v>
                </c:pt>
                <c:pt idx="6">
                  <c:v>5758.61</c:v>
                </c:pt>
                <c:pt idx="7">
                  <c:v>3813.81</c:v>
                </c:pt>
                <c:pt idx="8">
                  <c:v>8093.33</c:v>
                </c:pt>
                <c:pt idx="9">
                  <c:v>5544.41</c:v>
                </c:pt>
              </c:numCache>
            </c:numRef>
          </c:val>
          <c:extLst>
            <c:ext xmlns:c16="http://schemas.microsoft.com/office/drawing/2014/chart" uri="{C3380CC4-5D6E-409C-BE32-E72D297353CC}">
              <c16:uniqueId val="{000000BC-253C-4088-94BD-2A11347023B7}"/>
            </c:ext>
          </c:extLst>
        </c:ser>
        <c:ser>
          <c:idx val="44"/>
          <c:order val="44"/>
          <c:tx>
            <c:strRef>
              <c:f>'Branch Pivot'!$AT$3:$AT$6</c:f>
              <c:strCache>
                <c:ptCount val="1"/>
                <c:pt idx="0">
                  <c:v>October - 2025 - Revenue (SAR)</c:v>
                </c:pt>
              </c:strCache>
            </c:strRef>
          </c:tx>
          <c:spPr>
            <a:noFill/>
            <a:ln w="9525" cap="flat" cmpd="sng" algn="ctr">
              <a:solidFill>
                <a:schemeClr val="accent3">
                  <a:lumMod val="70000"/>
                </a:schemeClr>
              </a:solidFill>
              <a:miter lim="800000"/>
            </a:ln>
            <a:effectLst>
              <a:glow rad="63500">
                <a:schemeClr val="accent3">
                  <a:lumMod val="7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Pivot'!$AT$7:$AT$17</c:f>
              <c:numCache>
                <c:formatCode>[$⃁-401]\ #,##0.00</c:formatCode>
                <c:ptCount val="10"/>
                <c:pt idx="0">
                  <c:v>2793779.5</c:v>
                </c:pt>
                <c:pt idx="1">
                  <c:v>3729900</c:v>
                </c:pt>
                <c:pt idx="2">
                  <c:v>2225058</c:v>
                </c:pt>
                <c:pt idx="3">
                  <c:v>2794453</c:v>
                </c:pt>
                <c:pt idx="4">
                  <c:v>2118183</c:v>
                </c:pt>
                <c:pt idx="5">
                  <c:v>2764498</c:v>
                </c:pt>
                <c:pt idx="6">
                  <c:v>2691868</c:v>
                </c:pt>
                <c:pt idx="7">
                  <c:v>2071220</c:v>
                </c:pt>
                <c:pt idx="8">
                  <c:v>4902284</c:v>
                </c:pt>
                <c:pt idx="9">
                  <c:v>3081978</c:v>
                </c:pt>
              </c:numCache>
            </c:numRef>
          </c:val>
          <c:extLst>
            <c:ext xmlns:c16="http://schemas.microsoft.com/office/drawing/2014/chart" uri="{C3380CC4-5D6E-409C-BE32-E72D297353CC}">
              <c16:uniqueId val="{000000BD-253C-4088-94BD-2A11347023B7}"/>
            </c:ext>
          </c:extLst>
        </c:ser>
        <c:ser>
          <c:idx val="45"/>
          <c:order val="45"/>
          <c:tx>
            <c:strRef>
              <c:f>'Branch Pivot'!$AU$3:$AU$6</c:f>
              <c:strCache>
                <c:ptCount val="1"/>
                <c:pt idx="0">
                  <c:v>October - 2025 - Weight Sold (g)</c:v>
                </c:pt>
              </c:strCache>
            </c:strRef>
          </c:tx>
          <c:spPr>
            <a:noFill/>
            <a:ln w="9525" cap="flat" cmpd="sng" algn="ctr">
              <a:solidFill>
                <a:schemeClr val="accent4">
                  <a:lumMod val="70000"/>
                </a:schemeClr>
              </a:solidFill>
              <a:miter lim="800000"/>
            </a:ln>
            <a:effectLst>
              <a:glow rad="63500">
                <a:schemeClr val="accent4">
                  <a:lumMod val="7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Pivot'!$AU$7:$AU$17</c:f>
              <c:numCache>
                <c:formatCode>0.00</c:formatCode>
                <c:ptCount val="10"/>
                <c:pt idx="0">
                  <c:v>44127.659999999989</c:v>
                </c:pt>
                <c:pt idx="1">
                  <c:v>23377.519999999997</c:v>
                </c:pt>
                <c:pt idx="2">
                  <c:v>9493.8200000000088</c:v>
                </c:pt>
                <c:pt idx="3">
                  <c:v>22027.139999999992</c:v>
                </c:pt>
                <c:pt idx="4">
                  <c:v>8294.4100000000089</c:v>
                </c:pt>
                <c:pt idx="5">
                  <c:v>7019.2499999999982</c:v>
                </c:pt>
                <c:pt idx="6">
                  <c:v>25439.449999999975</c:v>
                </c:pt>
                <c:pt idx="7">
                  <c:v>24812.380000000016</c:v>
                </c:pt>
                <c:pt idx="8">
                  <c:v>50366.540999999983</c:v>
                </c:pt>
                <c:pt idx="9">
                  <c:v>10263.260000000007</c:v>
                </c:pt>
              </c:numCache>
            </c:numRef>
          </c:val>
          <c:extLst>
            <c:ext xmlns:c16="http://schemas.microsoft.com/office/drawing/2014/chart" uri="{C3380CC4-5D6E-409C-BE32-E72D297353CC}">
              <c16:uniqueId val="{000000BE-253C-4088-94BD-2A11347023B7}"/>
            </c:ext>
          </c:extLst>
        </c:ser>
        <c:ser>
          <c:idx val="46"/>
          <c:order val="46"/>
          <c:tx>
            <c:strRef>
              <c:f>'Branch Pivot'!$AV$3:$AV$6</c:f>
              <c:strCache>
                <c:ptCount val="1"/>
                <c:pt idx="0">
                  <c:v>October - 2025 - Transactions</c:v>
                </c:pt>
              </c:strCache>
            </c:strRef>
          </c:tx>
          <c:spPr>
            <a:noFill/>
            <a:ln w="9525" cap="flat" cmpd="sng" algn="ctr">
              <a:solidFill>
                <a:schemeClr val="accent5">
                  <a:lumMod val="70000"/>
                </a:schemeClr>
              </a:solidFill>
              <a:miter lim="800000"/>
            </a:ln>
            <a:effectLst>
              <a:glow rad="63500">
                <a:schemeClr val="accent5">
                  <a:lumMod val="7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Pivot'!$AV$7:$AV$17</c:f>
              <c:numCache>
                <c:formatCode>General</c:formatCode>
                <c:ptCount val="10"/>
                <c:pt idx="0">
                  <c:v>402</c:v>
                </c:pt>
                <c:pt idx="1">
                  <c:v>540</c:v>
                </c:pt>
                <c:pt idx="2">
                  <c:v>398</c:v>
                </c:pt>
                <c:pt idx="3">
                  <c:v>387</c:v>
                </c:pt>
                <c:pt idx="4">
                  <c:v>383</c:v>
                </c:pt>
                <c:pt idx="5">
                  <c:v>735</c:v>
                </c:pt>
                <c:pt idx="6">
                  <c:v>466</c:v>
                </c:pt>
                <c:pt idx="7">
                  <c:v>370</c:v>
                </c:pt>
                <c:pt idx="8">
                  <c:v>492</c:v>
                </c:pt>
                <c:pt idx="9">
                  <c:v>432</c:v>
                </c:pt>
              </c:numCache>
            </c:numRef>
          </c:val>
          <c:extLst>
            <c:ext xmlns:c16="http://schemas.microsoft.com/office/drawing/2014/chart" uri="{C3380CC4-5D6E-409C-BE32-E72D297353CC}">
              <c16:uniqueId val="{000000BF-253C-4088-94BD-2A11347023B7}"/>
            </c:ext>
          </c:extLst>
        </c:ser>
        <c:ser>
          <c:idx val="47"/>
          <c:order val="47"/>
          <c:tx>
            <c:strRef>
              <c:f>'Branch Pivot'!$AW$3:$AW$6</c:f>
              <c:strCache>
                <c:ptCount val="1"/>
                <c:pt idx="0">
                  <c:v>October - 2025 - Avg Transaction Value</c:v>
                </c:pt>
              </c:strCache>
            </c:strRef>
          </c:tx>
          <c:spPr>
            <a:noFill/>
            <a:ln w="9525" cap="flat" cmpd="sng" algn="ctr">
              <a:solidFill>
                <a:schemeClr val="accent6">
                  <a:lumMod val="70000"/>
                </a:schemeClr>
              </a:solidFill>
              <a:miter lim="800000"/>
            </a:ln>
            <a:effectLst>
              <a:glow rad="63500">
                <a:schemeClr val="accent6">
                  <a:lumMod val="7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Pivot'!$AW$7:$AW$17</c:f>
              <c:numCache>
                <c:formatCode>0.00</c:formatCode>
                <c:ptCount val="10"/>
                <c:pt idx="0">
                  <c:v>6949.7</c:v>
                </c:pt>
                <c:pt idx="1">
                  <c:v>6907.22</c:v>
                </c:pt>
                <c:pt idx="2">
                  <c:v>5590.6</c:v>
                </c:pt>
                <c:pt idx="3">
                  <c:v>7220.81</c:v>
                </c:pt>
                <c:pt idx="4">
                  <c:v>5530.5</c:v>
                </c:pt>
                <c:pt idx="5">
                  <c:v>3761.22</c:v>
                </c:pt>
                <c:pt idx="6">
                  <c:v>5776.54</c:v>
                </c:pt>
                <c:pt idx="7">
                  <c:v>5597.89</c:v>
                </c:pt>
                <c:pt idx="8">
                  <c:v>9963.99</c:v>
                </c:pt>
                <c:pt idx="9">
                  <c:v>7134.21</c:v>
                </c:pt>
              </c:numCache>
            </c:numRef>
          </c:val>
          <c:extLst>
            <c:ext xmlns:c16="http://schemas.microsoft.com/office/drawing/2014/chart" uri="{C3380CC4-5D6E-409C-BE32-E72D297353CC}">
              <c16:uniqueId val="{000000C0-253C-4088-94BD-2A11347023B7}"/>
            </c:ext>
          </c:extLst>
        </c:ser>
        <c:ser>
          <c:idx val="48"/>
          <c:order val="48"/>
          <c:tx>
            <c:strRef>
              <c:f>'Branch Pivot'!$AX$3:$AX$6</c:f>
              <c:strCache>
                <c:ptCount val="1"/>
                <c:pt idx="0">
                  <c:v>November - 2025 - Revenue (SAR)</c:v>
                </c:pt>
              </c:strCache>
            </c:strRef>
          </c:tx>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Pivot'!$AX$7:$AX$17</c:f>
              <c:numCache>
                <c:formatCode>[$⃁-401]\ #,##0.00</c:formatCode>
                <c:ptCount val="10"/>
                <c:pt idx="0">
                  <c:v>1253686.05</c:v>
                </c:pt>
                <c:pt idx="1">
                  <c:v>2022695</c:v>
                </c:pt>
                <c:pt idx="2">
                  <c:v>1228540</c:v>
                </c:pt>
                <c:pt idx="3">
                  <c:v>1503965</c:v>
                </c:pt>
                <c:pt idx="4">
                  <c:v>1038682</c:v>
                </c:pt>
                <c:pt idx="5">
                  <c:v>1909045</c:v>
                </c:pt>
                <c:pt idx="6">
                  <c:v>2289656</c:v>
                </c:pt>
                <c:pt idx="7">
                  <c:v>1368375</c:v>
                </c:pt>
                <c:pt idx="8">
                  <c:v>1681494</c:v>
                </c:pt>
                <c:pt idx="9">
                  <c:v>1664317</c:v>
                </c:pt>
              </c:numCache>
            </c:numRef>
          </c:val>
          <c:extLst>
            <c:ext xmlns:c16="http://schemas.microsoft.com/office/drawing/2014/chart" uri="{C3380CC4-5D6E-409C-BE32-E72D297353CC}">
              <c16:uniqueId val="{000000C1-253C-4088-94BD-2A11347023B7}"/>
            </c:ext>
          </c:extLst>
        </c:ser>
        <c:ser>
          <c:idx val="49"/>
          <c:order val="49"/>
          <c:tx>
            <c:strRef>
              <c:f>'Branch Pivot'!$AY$3:$AY$6</c:f>
              <c:strCache>
                <c:ptCount val="1"/>
                <c:pt idx="0">
                  <c:v>November - 2025 - Weight Sold (g)</c:v>
                </c:pt>
              </c:strCache>
            </c:strRef>
          </c:tx>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Pivot'!$AY$7:$AY$17</c:f>
              <c:numCache>
                <c:formatCode>0.00</c:formatCode>
                <c:ptCount val="10"/>
                <c:pt idx="0">
                  <c:v>2527.2899999999995</c:v>
                </c:pt>
                <c:pt idx="1">
                  <c:v>6282.5599999999995</c:v>
                </c:pt>
                <c:pt idx="2">
                  <c:v>2511.3999999999987</c:v>
                </c:pt>
                <c:pt idx="3">
                  <c:v>3882.9600000000005</c:v>
                </c:pt>
                <c:pt idx="4">
                  <c:v>2107.8789999999981</c:v>
                </c:pt>
                <c:pt idx="5">
                  <c:v>3423.3800000000028</c:v>
                </c:pt>
                <c:pt idx="6">
                  <c:v>9953.0530000000072</c:v>
                </c:pt>
                <c:pt idx="7">
                  <c:v>18340.699999999997</c:v>
                </c:pt>
                <c:pt idx="8">
                  <c:v>7355.1850000000095</c:v>
                </c:pt>
                <c:pt idx="9">
                  <c:v>4508.239999999998</c:v>
                </c:pt>
              </c:numCache>
            </c:numRef>
          </c:val>
          <c:extLst>
            <c:ext xmlns:c16="http://schemas.microsoft.com/office/drawing/2014/chart" uri="{C3380CC4-5D6E-409C-BE32-E72D297353CC}">
              <c16:uniqueId val="{000000C2-253C-4088-94BD-2A11347023B7}"/>
            </c:ext>
          </c:extLst>
        </c:ser>
        <c:ser>
          <c:idx val="50"/>
          <c:order val="50"/>
          <c:tx>
            <c:strRef>
              <c:f>'Branch Pivot'!$AZ$3:$AZ$6</c:f>
              <c:strCache>
                <c:ptCount val="1"/>
                <c:pt idx="0">
                  <c:v>November - 2025 - Transactions</c:v>
                </c:pt>
              </c:strCache>
            </c:strRef>
          </c:tx>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Pivot'!$AZ$7:$AZ$17</c:f>
              <c:numCache>
                <c:formatCode>General</c:formatCode>
                <c:ptCount val="10"/>
                <c:pt idx="0">
                  <c:v>239</c:v>
                </c:pt>
                <c:pt idx="1">
                  <c:v>352</c:v>
                </c:pt>
                <c:pt idx="2">
                  <c:v>277</c:v>
                </c:pt>
                <c:pt idx="3">
                  <c:v>299</c:v>
                </c:pt>
                <c:pt idx="4">
                  <c:v>240</c:v>
                </c:pt>
                <c:pt idx="5">
                  <c:v>506</c:v>
                </c:pt>
                <c:pt idx="6">
                  <c:v>405</c:v>
                </c:pt>
                <c:pt idx="7">
                  <c:v>309</c:v>
                </c:pt>
                <c:pt idx="8">
                  <c:v>310</c:v>
                </c:pt>
                <c:pt idx="9">
                  <c:v>300</c:v>
                </c:pt>
              </c:numCache>
            </c:numRef>
          </c:val>
          <c:extLst>
            <c:ext xmlns:c16="http://schemas.microsoft.com/office/drawing/2014/chart" uri="{C3380CC4-5D6E-409C-BE32-E72D297353CC}">
              <c16:uniqueId val="{000000C3-253C-4088-94BD-2A11347023B7}"/>
            </c:ext>
          </c:extLst>
        </c:ser>
        <c:ser>
          <c:idx val="51"/>
          <c:order val="51"/>
          <c:tx>
            <c:strRef>
              <c:f>'Branch Pivot'!$BA$3:$BA$6</c:f>
              <c:strCache>
                <c:ptCount val="1"/>
                <c:pt idx="0">
                  <c:v>November - 2025 - Avg Transaction Value</c:v>
                </c:pt>
              </c:strCache>
            </c:strRef>
          </c:tx>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Pivot'!$BA$7:$BA$17</c:f>
              <c:numCache>
                <c:formatCode>0.00</c:formatCode>
                <c:ptCount val="10"/>
                <c:pt idx="0">
                  <c:v>5245.55</c:v>
                </c:pt>
                <c:pt idx="1">
                  <c:v>5746.29</c:v>
                </c:pt>
                <c:pt idx="2">
                  <c:v>4435.16</c:v>
                </c:pt>
                <c:pt idx="3">
                  <c:v>5029.9799999999996</c:v>
                </c:pt>
                <c:pt idx="4">
                  <c:v>4327.84</c:v>
                </c:pt>
                <c:pt idx="5">
                  <c:v>3772.82</c:v>
                </c:pt>
                <c:pt idx="6">
                  <c:v>5653.47</c:v>
                </c:pt>
                <c:pt idx="7">
                  <c:v>4428.3999999999996</c:v>
                </c:pt>
                <c:pt idx="8">
                  <c:v>5424.17</c:v>
                </c:pt>
                <c:pt idx="9">
                  <c:v>5547.72</c:v>
                </c:pt>
              </c:numCache>
            </c:numRef>
          </c:val>
          <c:extLst>
            <c:ext xmlns:c16="http://schemas.microsoft.com/office/drawing/2014/chart" uri="{C3380CC4-5D6E-409C-BE32-E72D297353CC}">
              <c16:uniqueId val="{000000C4-253C-4088-94BD-2A11347023B7}"/>
            </c:ext>
          </c:extLst>
        </c:ser>
        <c:ser>
          <c:idx val="52"/>
          <c:order val="52"/>
          <c:tx>
            <c:strRef>
              <c:f>'Branch Pivot'!$BB$3:$BB$6</c:f>
              <c:strCache>
                <c:ptCount val="1"/>
                <c:pt idx="0">
                  <c:v>December - 2025 - Revenue (SAR)</c:v>
                </c:pt>
              </c:strCache>
            </c:strRef>
          </c:tx>
          <c:spPr>
            <a:solidFill>
              <a:schemeClr val="accent1">
                <a:lumMod val="20000"/>
                <a:lumOff val="80000"/>
              </a:schemeClr>
            </a:solid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Pivot'!$BB$7:$BB$17</c:f>
              <c:numCache>
                <c:formatCode>[$⃁-401]\ #,##0.00</c:formatCode>
                <c:ptCount val="10"/>
                <c:pt idx="0">
                  <c:v>1641887</c:v>
                </c:pt>
                <c:pt idx="1">
                  <c:v>2188330</c:v>
                </c:pt>
                <c:pt idx="2">
                  <c:v>2229975</c:v>
                </c:pt>
                <c:pt idx="3">
                  <c:v>2190271</c:v>
                </c:pt>
                <c:pt idx="4">
                  <c:v>1301523</c:v>
                </c:pt>
                <c:pt idx="5">
                  <c:v>2175756.5</c:v>
                </c:pt>
                <c:pt idx="6">
                  <c:v>2335362</c:v>
                </c:pt>
                <c:pt idx="7">
                  <c:v>1868895</c:v>
                </c:pt>
                <c:pt idx="8">
                  <c:v>2524278</c:v>
                </c:pt>
                <c:pt idx="9">
                  <c:v>1774468</c:v>
                </c:pt>
              </c:numCache>
            </c:numRef>
          </c:val>
          <c:extLst>
            <c:ext xmlns:c16="http://schemas.microsoft.com/office/drawing/2014/chart" uri="{C3380CC4-5D6E-409C-BE32-E72D297353CC}">
              <c16:uniqueId val="{000000C5-253C-4088-94BD-2A11347023B7}"/>
            </c:ext>
          </c:extLst>
        </c:ser>
        <c:ser>
          <c:idx val="53"/>
          <c:order val="53"/>
          <c:tx>
            <c:strRef>
              <c:f>'Branch Pivot'!$BC$3:$BC$6</c:f>
              <c:strCache>
                <c:ptCount val="1"/>
                <c:pt idx="0">
                  <c:v>December - 2025 - Weight Sold (g)</c:v>
                </c:pt>
              </c:strCache>
            </c:strRef>
          </c:tx>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Pivot'!$BC$7:$BC$17</c:f>
              <c:numCache>
                <c:formatCode>0.00</c:formatCode>
                <c:ptCount val="10"/>
                <c:pt idx="0">
                  <c:v>5116.6299999999992</c:v>
                </c:pt>
                <c:pt idx="1">
                  <c:v>8125.0500000000029</c:v>
                </c:pt>
                <c:pt idx="2">
                  <c:v>5267.37</c:v>
                </c:pt>
                <c:pt idx="3">
                  <c:v>13209.18</c:v>
                </c:pt>
                <c:pt idx="4">
                  <c:v>8852.9499999999971</c:v>
                </c:pt>
                <c:pt idx="5">
                  <c:v>3746.8589999999995</c:v>
                </c:pt>
                <c:pt idx="6">
                  <c:v>28427.726999999999</c:v>
                </c:pt>
                <c:pt idx="7">
                  <c:v>38391.219999999987</c:v>
                </c:pt>
                <c:pt idx="8">
                  <c:v>25016.399999999998</c:v>
                </c:pt>
                <c:pt idx="9">
                  <c:v>11204.5</c:v>
                </c:pt>
              </c:numCache>
            </c:numRef>
          </c:val>
          <c:extLst>
            <c:ext xmlns:c16="http://schemas.microsoft.com/office/drawing/2014/chart" uri="{C3380CC4-5D6E-409C-BE32-E72D297353CC}">
              <c16:uniqueId val="{000000C6-253C-4088-94BD-2A11347023B7}"/>
            </c:ext>
          </c:extLst>
        </c:ser>
        <c:ser>
          <c:idx val="54"/>
          <c:order val="54"/>
          <c:tx>
            <c:strRef>
              <c:f>'Branch Pivot'!$BD$3:$BD$6</c:f>
              <c:strCache>
                <c:ptCount val="1"/>
                <c:pt idx="0">
                  <c:v>December - 2025 - Transactions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Pivot'!$BD$7:$BD$17</c:f>
              <c:numCache>
                <c:formatCode>General</c:formatCode>
                <c:ptCount val="10"/>
                <c:pt idx="0">
                  <c:v>288</c:v>
                </c:pt>
                <c:pt idx="1">
                  <c:v>344</c:v>
                </c:pt>
                <c:pt idx="2">
                  <c:v>377</c:v>
                </c:pt>
                <c:pt idx="3">
                  <c:v>361</c:v>
                </c:pt>
                <c:pt idx="4">
                  <c:v>222</c:v>
                </c:pt>
                <c:pt idx="5">
                  <c:v>553</c:v>
                </c:pt>
                <c:pt idx="6">
                  <c:v>392</c:v>
                </c:pt>
                <c:pt idx="7">
                  <c:v>385</c:v>
                </c:pt>
                <c:pt idx="8">
                  <c:v>396</c:v>
                </c:pt>
                <c:pt idx="9">
                  <c:v>328</c:v>
                </c:pt>
              </c:numCache>
            </c:numRef>
          </c:val>
          <c:extLst>
            <c:ext xmlns:c16="http://schemas.microsoft.com/office/drawing/2014/chart" uri="{C3380CC4-5D6E-409C-BE32-E72D297353CC}">
              <c16:uniqueId val="{000000C7-253C-4088-94BD-2A11347023B7}"/>
            </c:ext>
          </c:extLst>
        </c:ser>
        <c:ser>
          <c:idx val="55"/>
          <c:order val="55"/>
          <c:tx>
            <c:strRef>
              <c:f>'Branch Pivot'!$BE$3:$BE$6</c:f>
              <c:strCache>
                <c:ptCount val="1"/>
                <c:pt idx="0">
                  <c:v>December - 2025 - Avg Transaction Value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'Branch Pivot'!$A$7:$A$17</c:f>
              <c:strCache>
                <c:ptCount val="10"/>
                <c:pt idx="0">
                  <c:v>Branch 19</c:v>
                </c:pt>
                <c:pt idx="1">
                  <c:v>Branch 16</c:v>
                </c:pt>
                <c:pt idx="2">
                  <c:v>Branch 13</c:v>
                </c:pt>
                <c:pt idx="3">
                  <c:v>Branch 12</c:v>
                </c:pt>
                <c:pt idx="4">
                  <c:v>Branch 09</c:v>
                </c:pt>
                <c:pt idx="5">
                  <c:v>Branch 08</c:v>
                </c:pt>
                <c:pt idx="6">
                  <c:v>Branch 07</c:v>
                </c:pt>
                <c:pt idx="7">
                  <c:v>Branch 05</c:v>
                </c:pt>
                <c:pt idx="8">
                  <c:v>Branch 02</c:v>
                </c:pt>
                <c:pt idx="9">
                  <c:v>Branch 01</c:v>
                </c:pt>
              </c:strCache>
            </c:strRef>
          </c:cat>
          <c:val>
            <c:numRef>
              <c:f>'Branch Pivot'!$BE$7:$BE$17</c:f>
              <c:numCache>
                <c:formatCode>0.00</c:formatCode>
                <c:ptCount val="10"/>
                <c:pt idx="0">
                  <c:v>5701</c:v>
                </c:pt>
                <c:pt idx="1">
                  <c:v>6361.42</c:v>
                </c:pt>
                <c:pt idx="2">
                  <c:v>5915.05</c:v>
                </c:pt>
                <c:pt idx="3">
                  <c:v>6067.23</c:v>
                </c:pt>
                <c:pt idx="4">
                  <c:v>5862.72</c:v>
                </c:pt>
                <c:pt idx="5">
                  <c:v>3934.46</c:v>
                </c:pt>
                <c:pt idx="6">
                  <c:v>5957.56</c:v>
                </c:pt>
                <c:pt idx="7">
                  <c:v>4854.2700000000004</c:v>
                </c:pt>
                <c:pt idx="8">
                  <c:v>6374.44</c:v>
                </c:pt>
                <c:pt idx="9">
                  <c:v>5409.96</c:v>
                </c:pt>
              </c:numCache>
            </c:numRef>
          </c:val>
          <c:extLst>
            <c:ext xmlns:c16="http://schemas.microsoft.com/office/drawing/2014/chart" uri="{C3380CC4-5D6E-409C-BE32-E72D297353CC}">
              <c16:uniqueId val="{000000C8-253C-4088-94BD-2A11347023B7}"/>
            </c:ext>
          </c:extLst>
        </c:ser>
        <c:dLbls>
          <c:showLegendKey val="0"/>
          <c:showVal val="0"/>
          <c:showCatName val="0"/>
          <c:showSerName val="0"/>
          <c:showPercent val="0"/>
          <c:showBubbleSize val="0"/>
        </c:dLbls>
        <c:gapWidth val="182"/>
        <c:overlap val="-50"/>
        <c:axId val="1143888432"/>
        <c:axId val="1143890096"/>
      </c:barChart>
      <c:catAx>
        <c:axId val="1143888432"/>
        <c:scaling>
          <c:orientation val="minMax"/>
        </c:scaling>
        <c:delete val="1"/>
        <c:axPos val="l"/>
        <c:numFmt formatCode="General" sourceLinked="1"/>
        <c:majorTickMark val="out"/>
        <c:minorTickMark val="none"/>
        <c:tickLblPos val="nextTo"/>
        <c:crossAx val="1143890096"/>
        <c:crosses val="autoZero"/>
        <c:auto val="1"/>
        <c:lblAlgn val="ctr"/>
        <c:lblOffset val="100"/>
        <c:noMultiLvlLbl val="0"/>
      </c:catAx>
      <c:valAx>
        <c:axId val="1143890096"/>
        <c:scaling>
          <c:orientation val="minMax"/>
        </c:scaling>
        <c:delete val="1"/>
        <c:axPos val="b"/>
        <c:numFmt formatCode="[$⃁-401]\ #,##0.00" sourceLinked="1"/>
        <c:majorTickMark val="out"/>
        <c:minorTickMark val="none"/>
        <c:tickLblPos val="nextTo"/>
        <c:crossAx val="114388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1 - Branch Revenue.xlsx]Sheet5!PivotTable2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ln w="22225" cap="rnd">
            <a:solidFill>
              <a:schemeClr val="accent1"/>
            </a:solidFill>
          </a:ln>
          <a:effectLst>
            <a:glow rad="139700">
              <a:schemeClr val="accent1">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ln w="22225" cap="rnd">
            <a:solidFill>
              <a:schemeClr val="accent1"/>
            </a:solidFill>
          </a:ln>
          <a:effectLst>
            <a:glow rad="139700">
              <a:schemeClr val="accent1">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22225" cap="rnd">
            <a:solidFill>
              <a:schemeClr val="accent1"/>
            </a:solidFill>
          </a:ln>
          <a:effectLst>
            <a:glow rad="139700">
              <a:schemeClr val="accent1">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ln w="22225" cap="rnd">
            <a:solidFill>
              <a:schemeClr val="accent1"/>
            </a:solidFill>
          </a:ln>
          <a:effectLst>
            <a:glow rad="139700">
              <a:schemeClr val="accent1">
                <a:satMod val="175000"/>
                <a:alpha val="14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Sheet5!$B$3:$B$4</c:f>
              <c:strCache>
                <c:ptCount val="1"/>
                <c:pt idx="0">
                  <c:v>Branch 01</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Sheet5!$B$5:$B$17</c:f>
              <c:numCache>
                <c:formatCode>General</c:formatCode>
                <c:ptCount val="12"/>
                <c:pt idx="0">
                  <c:v>7523351</c:v>
                </c:pt>
                <c:pt idx="1">
                  <c:v>3179702.7</c:v>
                </c:pt>
                <c:pt idx="3">
                  <c:v>3577391</c:v>
                </c:pt>
                <c:pt idx="4">
                  <c:v>4423701</c:v>
                </c:pt>
                <c:pt idx="5">
                  <c:v>2773682</c:v>
                </c:pt>
                <c:pt idx="6">
                  <c:v>1807820</c:v>
                </c:pt>
                <c:pt idx="7">
                  <c:v>2010867</c:v>
                </c:pt>
                <c:pt idx="8">
                  <c:v>2001533</c:v>
                </c:pt>
                <c:pt idx="9">
                  <c:v>3081978</c:v>
                </c:pt>
                <c:pt idx="10">
                  <c:v>1664317</c:v>
                </c:pt>
                <c:pt idx="11">
                  <c:v>1774468</c:v>
                </c:pt>
              </c:numCache>
            </c:numRef>
          </c:val>
          <c:smooth val="0"/>
          <c:extLst>
            <c:ext xmlns:c16="http://schemas.microsoft.com/office/drawing/2014/chart" uri="{C3380CC4-5D6E-409C-BE32-E72D297353CC}">
              <c16:uniqueId val="{00000000-9E06-4F4B-8F01-46753D2F3FAE}"/>
            </c:ext>
          </c:extLst>
        </c:ser>
        <c:ser>
          <c:idx val="1"/>
          <c:order val="1"/>
          <c:tx>
            <c:strRef>
              <c:f>Sheet5!$C$3:$C$4</c:f>
              <c:strCache>
                <c:ptCount val="1"/>
                <c:pt idx="0">
                  <c:v>Branch 02</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Sheet5!$C$5:$C$17</c:f>
              <c:numCache>
                <c:formatCode>General</c:formatCode>
                <c:ptCount val="12"/>
                <c:pt idx="0">
                  <c:v>2073464.94</c:v>
                </c:pt>
                <c:pt idx="1">
                  <c:v>2962986</c:v>
                </c:pt>
                <c:pt idx="2">
                  <c:v>2647159</c:v>
                </c:pt>
                <c:pt idx="3">
                  <c:v>3630299</c:v>
                </c:pt>
                <c:pt idx="4">
                  <c:v>4849024</c:v>
                </c:pt>
                <c:pt idx="5">
                  <c:v>2438467</c:v>
                </c:pt>
                <c:pt idx="6">
                  <c:v>2235970</c:v>
                </c:pt>
                <c:pt idx="7">
                  <c:v>2900660</c:v>
                </c:pt>
                <c:pt idx="8">
                  <c:v>2994530.8</c:v>
                </c:pt>
                <c:pt idx="9">
                  <c:v>4902284</c:v>
                </c:pt>
                <c:pt idx="10">
                  <c:v>1681494</c:v>
                </c:pt>
                <c:pt idx="11">
                  <c:v>2524278</c:v>
                </c:pt>
              </c:numCache>
            </c:numRef>
          </c:val>
          <c:smooth val="0"/>
          <c:extLst>
            <c:ext xmlns:c16="http://schemas.microsoft.com/office/drawing/2014/chart" uri="{C3380CC4-5D6E-409C-BE32-E72D297353CC}">
              <c16:uniqueId val="{00000012-72FB-4EBD-BC51-D507AD8BD6D7}"/>
            </c:ext>
          </c:extLst>
        </c:ser>
        <c:ser>
          <c:idx val="2"/>
          <c:order val="2"/>
          <c:tx>
            <c:strRef>
              <c:f>Sheet5!$D$3:$D$4</c:f>
              <c:strCache>
                <c:ptCount val="1"/>
                <c:pt idx="0">
                  <c:v>Branch 03</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Sheet5!$D$5:$D$17</c:f>
              <c:numCache>
                <c:formatCode>General</c:formatCode>
                <c:ptCount val="12"/>
                <c:pt idx="0">
                  <c:v>5487968.7999999998</c:v>
                </c:pt>
                <c:pt idx="1">
                  <c:v>1735685</c:v>
                </c:pt>
                <c:pt idx="6">
                  <c:v>1141560</c:v>
                </c:pt>
                <c:pt idx="7">
                  <c:v>1194812</c:v>
                </c:pt>
                <c:pt idx="8">
                  <c:v>2213860.5</c:v>
                </c:pt>
                <c:pt idx="9">
                  <c:v>3357326.25</c:v>
                </c:pt>
                <c:pt idx="10">
                  <c:v>2509419</c:v>
                </c:pt>
                <c:pt idx="11">
                  <c:v>2286757.5</c:v>
                </c:pt>
              </c:numCache>
            </c:numRef>
          </c:val>
          <c:smooth val="0"/>
          <c:extLst>
            <c:ext xmlns:c16="http://schemas.microsoft.com/office/drawing/2014/chart" uri="{C3380CC4-5D6E-409C-BE32-E72D297353CC}">
              <c16:uniqueId val="{00000013-72FB-4EBD-BC51-D507AD8BD6D7}"/>
            </c:ext>
          </c:extLst>
        </c:ser>
        <c:ser>
          <c:idx val="3"/>
          <c:order val="3"/>
          <c:tx>
            <c:strRef>
              <c:f>Sheet5!$E$3:$E$4</c:f>
              <c:strCache>
                <c:ptCount val="1"/>
                <c:pt idx="0">
                  <c:v>Branch 04</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Sheet5!$E$5:$E$17</c:f>
              <c:numCache>
                <c:formatCode>General</c:formatCode>
                <c:ptCount val="12"/>
                <c:pt idx="0">
                  <c:v>1611460</c:v>
                </c:pt>
                <c:pt idx="1">
                  <c:v>2465753</c:v>
                </c:pt>
                <c:pt idx="2">
                  <c:v>527860</c:v>
                </c:pt>
              </c:numCache>
            </c:numRef>
          </c:val>
          <c:smooth val="0"/>
          <c:extLst>
            <c:ext xmlns:c16="http://schemas.microsoft.com/office/drawing/2014/chart" uri="{C3380CC4-5D6E-409C-BE32-E72D297353CC}">
              <c16:uniqueId val="{00000014-72FB-4EBD-BC51-D507AD8BD6D7}"/>
            </c:ext>
          </c:extLst>
        </c:ser>
        <c:ser>
          <c:idx val="4"/>
          <c:order val="4"/>
          <c:tx>
            <c:strRef>
              <c:f>Sheet5!$F$3:$F$4</c:f>
              <c:strCache>
                <c:ptCount val="1"/>
                <c:pt idx="0">
                  <c:v>Branch 05</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Sheet5!$F$5:$F$17</c:f>
              <c:numCache>
                <c:formatCode>General</c:formatCode>
                <c:ptCount val="12"/>
                <c:pt idx="0">
                  <c:v>5080124.99</c:v>
                </c:pt>
                <c:pt idx="1">
                  <c:v>1859820</c:v>
                </c:pt>
                <c:pt idx="2">
                  <c:v>2076905</c:v>
                </c:pt>
                <c:pt idx="3">
                  <c:v>2286780</c:v>
                </c:pt>
                <c:pt idx="4">
                  <c:v>2165195</c:v>
                </c:pt>
                <c:pt idx="5">
                  <c:v>1550850</c:v>
                </c:pt>
                <c:pt idx="6">
                  <c:v>1180500</c:v>
                </c:pt>
                <c:pt idx="7">
                  <c:v>1362815</c:v>
                </c:pt>
                <c:pt idx="8">
                  <c:v>1182282</c:v>
                </c:pt>
                <c:pt idx="9">
                  <c:v>2071220</c:v>
                </c:pt>
                <c:pt idx="10">
                  <c:v>1368375</c:v>
                </c:pt>
                <c:pt idx="11">
                  <c:v>1868895</c:v>
                </c:pt>
              </c:numCache>
            </c:numRef>
          </c:val>
          <c:smooth val="0"/>
          <c:extLst>
            <c:ext xmlns:c16="http://schemas.microsoft.com/office/drawing/2014/chart" uri="{C3380CC4-5D6E-409C-BE32-E72D297353CC}">
              <c16:uniqueId val="{00000015-72FB-4EBD-BC51-D507AD8BD6D7}"/>
            </c:ext>
          </c:extLst>
        </c:ser>
        <c:ser>
          <c:idx val="5"/>
          <c:order val="5"/>
          <c:tx>
            <c:strRef>
              <c:f>Sheet5!$G$3:$G$4</c:f>
              <c:strCache>
                <c:ptCount val="1"/>
                <c:pt idx="0">
                  <c:v>Branch 06</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Sheet5!$G$5:$G$17</c:f>
              <c:numCache>
                <c:formatCode>General</c:formatCode>
                <c:ptCount val="12"/>
                <c:pt idx="0">
                  <c:v>895695</c:v>
                </c:pt>
                <c:pt idx="1">
                  <c:v>1470844</c:v>
                </c:pt>
                <c:pt idx="2">
                  <c:v>276165</c:v>
                </c:pt>
              </c:numCache>
            </c:numRef>
          </c:val>
          <c:smooth val="0"/>
          <c:extLst>
            <c:ext xmlns:c16="http://schemas.microsoft.com/office/drawing/2014/chart" uri="{C3380CC4-5D6E-409C-BE32-E72D297353CC}">
              <c16:uniqueId val="{00000016-72FB-4EBD-BC51-D507AD8BD6D7}"/>
            </c:ext>
          </c:extLst>
        </c:ser>
        <c:ser>
          <c:idx val="6"/>
          <c:order val="6"/>
          <c:tx>
            <c:strRef>
              <c:f>Sheet5!$H$3:$H$4</c:f>
              <c:strCache>
                <c:ptCount val="1"/>
                <c:pt idx="0">
                  <c:v>Branch 07</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Sheet5!$H$5:$H$17</c:f>
              <c:numCache>
                <c:formatCode>General</c:formatCode>
                <c:ptCount val="12"/>
                <c:pt idx="0">
                  <c:v>4827256</c:v>
                </c:pt>
                <c:pt idx="1">
                  <c:v>2129180</c:v>
                </c:pt>
                <c:pt idx="2">
                  <c:v>2187325</c:v>
                </c:pt>
                <c:pt idx="3">
                  <c:v>2379143</c:v>
                </c:pt>
                <c:pt idx="4">
                  <c:v>2361365</c:v>
                </c:pt>
                <c:pt idx="5">
                  <c:v>1704910</c:v>
                </c:pt>
                <c:pt idx="6">
                  <c:v>1822722</c:v>
                </c:pt>
                <c:pt idx="7">
                  <c:v>1484339</c:v>
                </c:pt>
                <c:pt idx="8">
                  <c:v>2136445</c:v>
                </c:pt>
                <c:pt idx="9">
                  <c:v>2691868</c:v>
                </c:pt>
                <c:pt idx="10">
                  <c:v>2289656</c:v>
                </c:pt>
                <c:pt idx="11">
                  <c:v>2335362</c:v>
                </c:pt>
              </c:numCache>
            </c:numRef>
          </c:val>
          <c:smooth val="0"/>
          <c:extLst>
            <c:ext xmlns:c16="http://schemas.microsoft.com/office/drawing/2014/chart" uri="{C3380CC4-5D6E-409C-BE32-E72D297353CC}">
              <c16:uniqueId val="{00000017-72FB-4EBD-BC51-D507AD8BD6D7}"/>
            </c:ext>
          </c:extLst>
        </c:ser>
        <c:ser>
          <c:idx val="7"/>
          <c:order val="7"/>
          <c:tx>
            <c:strRef>
              <c:f>Sheet5!$I$3:$I$4</c:f>
              <c:strCache>
                <c:ptCount val="1"/>
                <c:pt idx="0">
                  <c:v>Branch 08</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Sheet5!$I$5:$I$17</c:f>
              <c:numCache>
                <c:formatCode>General</c:formatCode>
                <c:ptCount val="12"/>
                <c:pt idx="0">
                  <c:v>3982283</c:v>
                </c:pt>
                <c:pt idx="1">
                  <c:v>2984166</c:v>
                </c:pt>
                <c:pt idx="2">
                  <c:v>2686355</c:v>
                </c:pt>
                <c:pt idx="3">
                  <c:v>1516311</c:v>
                </c:pt>
                <c:pt idx="4">
                  <c:v>1820764</c:v>
                </c:pt>
                <c:pt idx="5">
                  <c:v>1842641</c:v>
                </c:pt>
                <c:pt idx="6">
                  <c:v>1519037</c:v>
                </c:pt>
                <c:pt idx="7">
                  <c:v>1658296</c:v>
                </c:pt>
                <c:pt idx="8">
                  <c:v>2393485</c:v>
                </c:pt>
                <c:pt idx="9">
                  <c:v>2764498</c:v>
                </c:pt>
                <c:pt idx="10">
                  <c:v>1909045</c:v>
                </c:pt>
                <c:pt idx="11">
                  <c:v>2175756.5</c:v>
                </c:pt>
              </c:numCache>
            </c:numRef>
          </c:val>
          <c:smooth val="0"/>
          <c:extLst>
            <c:ext xmlns:c16="http://schemas.microsoft.com/office/drawing/2014/chart" uri="{C3380CC4-5D6E-409C-BE32-E72D297353CC}">
              <c16:uniqueId val="{00000018-72FB-4EBD-BC51-D507AD8BD6D7}"/>
            </c:ext>
          </c:extLst>
        </c:ser>
        <c:ser>
          <c:idx val="8"/>
          <c:order val="8"/>
          <c:tx>
            <c:strRef>
              <c:f>Sheet5!$J$3:$J$4</c:f>
              <c:strCache>
                <c:ptCount val="1"/>
                <c:pt idx="0">
                  <c:v>Branch 09</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Sheet5!$J$5:$J$17</c:f>
              <c:numCache>
                <c:formatCode>General</c:formatCode>
                <c:ptCount val="12"/>
                <c:pt idx="0">
                  <c:v>2664425</c:v>
                </c:pt>
                <c:pt idx="1">
                  <c:v>1850583</c:v>
                </c:pt>
                <c:pt idx="2">
                  <c:v>1797550</c:v>
                </c:pt>
                <c:pt idx="3">
                  <c:v>2845909</c:v>
                </c:pt>
                <c:pt idx="4">
                  <c:v>2647020</c:v>
                </c:pt>
                <c:pt idx="5">
                  <c:v>1391570</c:v>
                </c:pt>
                <c:pt idx="6">
                  <c:v>1152750</c:v>
                </c:pt>
                <c:pt idx="7">
                  <c:v>1252938</c:v>
                </c:pt>
                <c:pt idx="8">
                  <c:v>1796990</c:v>
                </c:pt>
                <c:pt idx="9">
                  <c:v>2118183</c:v>
                </c:pt>
                <c:pt idx="10">
                  <c:v>1038682</c:v>
                </c:pt>
                <c:pt idx="11">
                  <c:v>1301523</c:v>
                </c:pt>
              </c:numCache>
            </c:numRef>
          </c:val>
          <c:smooth val="0"/>
          <c:extLst>
            <c:ext xmlns:c16="http://schemas.microsoft.com/office/drawing/2014/chart" uri="{C3380CC4-5D6E-409C-BE32-E72D297353CC}">
              <c16:uniqueId val="{00000019-72FB-4EBD-BC51-D507AD8BD6D7}"/>
            </c:ext>
          </c:extLst>
        </c:ser>
        <c:ser>
          <c:idx val="9"/>
          <c:order val="9"/>
          <c:tx>
            <c:strRef>
              <c:f>Sheet5!$K$3:$K$4</c:f>
              <c:strCache>
                <c:ptCount val="1"/>
                <c:pt idx="0">
                  <c:v>Branch 10</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Sheet5!$K$5:$K$17</c:f>
              <c:numCache>
                <c:formatCode>General</c:formatCode>
                <c:ptCount val="12"/>
                <c:pt idx="0">
                  <c:v>2709720</c:v>
                </c:pt>
                <c:pt idx="1">
                  <c:v>2365490</c:v>
                </c:pt>
                <c:pt idx="2">
                  <c:v>2300450</c:v>
                </c:pt>
                <c:pt idx="3">
                  <c:v>1462590</c:v>
                </c:pt>
                <c:pt idx="4">
                  <c:v>2242835</c:v>
                </c:pt>
                <c:pt idx="5">
                  <c:v>1365810</c:v>
                </c:pt>
                <c:pt idx="6">
                  <c:v>927215</c:v>
                </c:pt>
                <c:pt idx="7">
                  <c:v>971095</c:v>
                </c:pt>
                <c:pt idx="8">
                  <c:v>1287820</c:v>
                </c:pt>
                <c:pt idx="9">
                  <c:v>1782760</c:v>
                </c:pt>
                <c:pt idx="10">
                  <c:v>1540815</c:v>
                </c:pt>
                <c:pt idx="11">
                  <c:v>1631860</c:v>
                </c:pt>
              </c:numCache>
            </c:numRef>
          </c:val>
          <c:smooth val="0"/>
          <c:extLst>
            <c:ext xmlns:c16="http://schemas.microsoft.com/office/drawing/2014/chart" uri="{C3380CC4-5D6E-409C-BE32-E72D297353CC}">
              <c16:uniqueId val="{0000001A-72FB-4EBD-BC51-D507AD8BD6D7}"/>
            </c:ext>
          </c:extLst>
        </c:ser>
        <c:ser>
          <c:idx val="10"/>
          <c:order val="10"/>
          <c:tx>
            <c:strRef>
              <c:f>Sheet5!$L$3:$L$4</c:f>
              <c:strCache>
                <c:ptCount val="1"/>
                <c:pt idx="0">
                  <c:v>Branch 12</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Sheet5!$L$5:$L$17</c:f>
              <c:numCache>
                <c:formatCode>General</c:formatCode>
                <c:ptCount val="12"/>
                <c:pt idx="0">
                  <c:v>3871300</c:v>
                </c:pt>
                <c:pt idx="1">
                  <c:v>2246749</c:v>
                </c:pt>
                <c:pt idx="2">
                  <c:v>2377075</c:v>
                </c:pt>
                <c:pt idx="3">
                  <c:v>1620140</c:v>
                </c:pt>
                <c:pt idx="4">
                  <c:v>1804331</c:v>
                </c:pt>
                <c:pt idx="5">
                  <c:v>1218640</c:v>
                </c:pt>
                <c:pt idx="6">
                  <c:v>1410468</c:v>
                </c:pt>
                <c:pt idx="7">
                  <c:v>1303100</c:v>
                </c:pt>
                <c:pt idx="8">
                  <c:v>1154971</c:v>
                </c:pt>
                <c:pt idx="9">
                  <c:v>2794453</c:v>
                </c:pt>
                <c:pt idx="10">
                  <c:v>1503965</c:v>
                </c:pt>
                <c:pt idx="11">
                  <c:v>2190271</c:v>
                </c:pt>
              </c:numCache>
            </c:numRef>
          </c:val>
          <c:smooth val="0"/>
          <c:extLst>
            <c:ext xmlns:c16="http://schemas.microsoft.com/office/drawing/2014/chart" uri="{C3380CC4-5D6E-409C-BE32-E72D297353CC}">
              <c16:uniqueId val="{0000001B-72FB-4EBD-BC51-D507AD8BD6D7}"/>
            </c:ext>
          </c:extLst>
        </c:ser>
        <c:ser>
          <c:idx val="11"/>
          <c:order val="11"/>
          <c:tx>
            <c:strRef>
              <c:f>Sheet5!$M$3:$M$4</c:f>
              <c:strCache>
                <c:ptCount val="1"/>
                <c:pt idx="0">
                  <c:v>Branch 13</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Sheet5!$M$5:$M$17</c:f>
              <c:numCache>
                <c:formatCode>General</c:formatCode>
                <c:ptCount val="12"/>
                <c:pt idx="0">
                  <c:v>3882995</c:v>
                </c:pt>
                <c:pt idx="1">
                  <c:v>2724951</c:v>
                </c:pt>
                <c:pt idx="2">
                  <c:v>2354166</c:v>
                </c:pt>
                <c:pt idx="3">
                  <c:v>2684360</c:v>
                </c:pt>
                <c:pt idx="4">
                  <c:v>2452005</c:v>
                </c:pt>
                <c:pt idx="5">
                  <c:v>1668087</c:v>
                </c:pt>
                <c:pt idx="6">
                  <c:v>1440420</c:v>
                </c:pt>
                <c:pt idx="7">
                  <c:v>1793020</c:v>
                </c:pt>
                <c:pt idx="8">
                  <c:v>1624852</c:v>
                </c:pt>
                <c:pt idx="9">
                  <c:v>2225058</c:v>
                </c:pt>
                <c:pt idx="10">
                  <c:v>1228540</c:v>
                </c:pt>
                <c:pt idx="11">
                  <c:v>2229975</c:v>
                </c:pt>
              </c:numCache>
            </c:numRef>
          </c:val>
          <c:smooth val="0"/>
          <c:extLst>
            <c:ext xmlns:c16="http://schemas.microsoft.com/office/drawing/2014/chart" uri="{C3380CC4-5D6E-409C-BE32-E72D297353CC}">
              <c16:uniqueId val="{0000001C-72FB-4EBD-BC51-D507AD8BD6D7}"/>
            </c:ext>
          </c:extLst>
        </c:ser>
        <c:ser>
          <c:idx val="12"/>
          <c:order val="12"/>
          <c:tx>
            <c:strRef>
              <c:f>Sheet5!$N$3:$N$4</c:f>
              <c:strCache>
                <c:ptCount val="1"/>
                <c:pt idx="0">
                  <c:v>Branch 15</c:v>
                </c:pt>
              </c:strCache>
            </c:strRef>
          </c:tx>
          <c:spPr>
            <a:ln w="22225" cap="rnd">
              <a:solidFill>
                <a:schemeClr val="accent1">
                  <a:lumMod val="80000"/>
                  <a:lumOff val="20000"/>
                </a:schemeClr>
              </a:solidFill>
            </a:ln>
            <a:effectLst>
              <a:glow rad="139700">
                <a:schemeClr val="accent1">
                  <a:lumMod val="80000"/>
                  <a:lumOff val="20000"/>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Sheet5!$N$5:$N$17</c:f>
              <c:numCache>
                <c:formatCode>General</c:formatCode>
                <c:ptCount val="12"/>
                <c:pt idx="0">
                  <c:v>1008620</c:v>
                </c:pt>
                <c:pt idx="1">
                  <c:v>978915</c:v>
                </c:pt>
                <c:pt idx="2">
                  <c:v>202420</c:v>
                </c:pt>
              </c:numCache>
            </c:numRef>
          </c:val>
          <c:smooth val="0"/>
          <c:extLst>
            <c:ext xmlns:c16="http://schemas.microsoft.com/office/drawing/2014/chart" uri="{C3380CC4-5D6E-409C-BE32-E72D297353CC}">
              <c16:uniqueId val="{00000024-72FB-4EBD-BC51-D507AD8BD6D7}"/>
            </c:ext>
          </c:extLst>
        </c:ser>
        <c:ser>
          <c:idx val="13"/>
          <c:order val="13"/>
          <c:tx>
            <c:strRef>
              <c:f>Sheet5!$O$3:$O$4</c:f>
              <c:strCache>
                <c:ptCount val="1"/>
                <c:pt idx="0">
                  <c:v>Branch 16</c:v>
                </c:pt>
              </c:strCache>
            </c:strRef>
          </c:tx>
          <c:spPr>
            <a:ln w="22225" cap="rnd">
              <a:solidFill>
                <a:schemeClr val="accent2">
                  <a:lumMod val="80000"/>
                  <a:lumOff val="20000"/>
                </a:schemeClr>
              </a:solidFill>
            </a:ln>
            <a:effectLst>
              <a:glow rad="139700">
                <a:schemeClr val="accent2">
                  <a:lumMod val="80000"/>
                  <a:lumOff val="20000"/>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Sheet5!$O$5:$O$17</c:f>
              <c:numCache>
                <c:formatCode>General</c:formatCode>
                <c:ptCount val="12"/>
                <c:pt idx="0">
                  <c:v>6449250</c:v>
                </c:pt>
                <c:pt idx="1">
                  <c:v>3862805</c:v>
                </c:pt>
                <c:pt idx="2">
                  <c:v>3165685</c:v>
                </c:pt>
                <c:pt idx="3">
                  <c:v>3610485</c:v>
                </c:pt>
                <c:pt idx="4">
                  <c:v>3802280</c:v>
                </c:pt>
                <c:pt idx="5">
                  <c:v>2498220</c:v>
                </c:pt>
                <c:pt idx="6">
                  <c:v>1843320</c:v>
                </c:pt>
                <c:pt idx="7">
                  <c:v>1778245</c:v>
                </c:pt>
                <c:pt idx="8">
                  <c:v>2398340</c:v>
                </c:pt>
                <c:pt idx="9">
                  <c:v>3729900</c:v>
                </c:pt>
                <c:pt idx="10">
                  <c:v>2022695</c:v>
                </c:pt>
                <c:pt idx="11">
                  <c:v>2188330</c:v>
                </c:pt>
              </c:numCache>
            </c:numRef>
          </c:val>
          <c:smooth val="0"/>
          <c:extLst>
            <c:ext xmlns:c16="http://schemas.microsoft.com/office/drawing/2014/chart" uri="{C3380CC4-5D6E-409C-BE32-E72D297353CC}">
              <c16:uniqueId val="{00000025-72FB-4EBD-BC51-D507AD8BD6D7}"/>
            </c:ext>
          </c:extLst>
        </c:ser>
        <c:ser>
          <c:idx val="14"/>
          <c:order val="14"/>
          <c:tx>
            <c:strRef>
              <c:f>Sheet5!$P$3:$P$4</c:f>
              <c:strCache>
                <c:ptCount val="1"/>
                <c:pt idx="0">
                  <c:v>Branch 17</c:v>
                </c:pt>
              </c:strCache>
            </c:strRef>
          </c:tx>
          <c:spPr>
            <a:ln w="22225" cap="rnd">
              <a:solidFill>
                <a:schemeClr val="accent3">
                  <a:lumMod val="80000"/>
                  <a:lumOff val="20000"/>
                </a:schemeClr>
              </a:solidFill>
            </a:ln>
            <a:effectLst>
              <a:glow rad="139700">
                <a:schemeClr val="accent3">
                  <a:lumMod val="80000"/>
                  <a:lumOff val="20000"/>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Sheet5!$P$5:$P$17</c:f>
              <c:numCache>
                <c:formatCode>General</c:formatCode>
                <c:ptCount val="12"/>
                <c:pt idx="0">
                  <c:v>385235</c:v>
                </c:pt>
                <c:pt idx="1">
                  <c:v>320782</c:v>
                </c:pt>
                <c:pt idx="2">
                  <c:v>75290</c:v>
                </c:pt>
              </c:numCache>
            </c:numRef>
          </c:val>
          <c:smooth val="0"/>
          <c:extLst>
            <c:ext xmlns:c16="http://schemas.microsoft.com/office/drawing/2014/chart" uri="{C3380CC4-5D6E-409C-BE32-E72D297353CC}">
              <c16:uniqueId val="{00000026-72FB-4EBD-BC51-D507AD8BD6D7}"/>
            </c:ext>
          </c:extLst>
        </c:ser>
        <c:ser>
          <c:idx val="15"/>
          <c:order val="15"/>
          <c:tx>
            <c:strRef>
              <c:f>Sheet5!$Q$3:$Q$4</c:f>
              <c:strCache>
                <c:ptCount val="1"/>
                <c:pt idx="0">
                  <c:v>Branch 18</c:v>
                </c:pt>
              </c:strCache>
            </c:strRef>
          </c:tx>
          <c:spPr>
            <a:ln w="22225" cap="rnd">
              <a:solidFill>
                <a:schemeClr val="accent4">
                  <a:lumMod val="80000"/>
                  <a:lumOff val="20000"/>
                </a:schemeClr>
              </a:solidFill>
            </a:ln>
            <a:effectLst>
              <a:glow rad="139700">
                <a:schemeClr val="accent4">
                  <a:lumMod val="80000"/>
                  <a:lumOff val="20000"/>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Sheet5!$Q$5:$Q$17</c:f>
              <c:numCache>
                <c:formatCode>General</c:formatCode>
                <c:ptCount val="12"/>
                <c:pt idx="0">
                  <c:v>7510754.1500000004</c:v>
                </c:pt>
                <c:pt idx="1">
                  <c:v>3488608.1399999992</c:v>
                </c:pt>
                <c:pt idx="2">
                  <c:v>359000.29000000027</c:v>
                </c:pt>
                <c:pt idx="3">
                  <c:v>705558.57999999938</c:v>
                </c:pt>
                <c:pt idx="4">
                  <c:v>366364.6999999999</c:v>
                </c:pt>
                <c:pt idx="5">
                  <c:v>199906.51000000004</c:v>
                </c:pt>
                <c:pt idx="6">
                  <c:v>266577.81000000011</c:v>
                </c:pt>
                <c:pt idx="7">
                  <c:v>281263.91999999987</c:v>
                </c:pt>
                <c:pt idx="8">
                  <c:v>283844.36999999994</c:v>
                </c:pt>
                <c:pt idx="9">
                  <c:v>1318817.3499999996</c:v>
                </c:pt>
                <c:pt idx="10">
                  <c:v>214139.21</c:v>
                </c:pt>
                <c:pt idx="11">
                  <c:v>227372.79</c:v>
                </c:pt>
              </c:numCache>
            </c:numRef>
          </c:val>
          <c:smooth val="0"/>
          <c:extLst>
            <c:ext xmlns:c16="http://schemas.microsoft.com/office/drawing/2014/chart" uri="{C3380CC4-5D6E-409C-BE32-E72D297353CC}">
              <c16:uniqueId val="{00000027-72FB-4EBD-BC51-D507AD8BD6D7}"/>
            </c:ext>
          </c:extLst>
        </c:ser>
        <c:ser>
          <c:idx val="16"/>
          <c:order val="16"/>
          <c:tx>
            <c:strRef>
              <c:f>Sheet5!$R$3:$R$4</c:f>
              <c:strCache>
                <c:ptCount val="1"/>
                <c:pt idx="0">
                  <c:v>Branch 19</c:v>
                </c:pt>
              </c:strCache>
            </c:strRef>
          </c:tx>
          <c:spPr>
            <a:ln w="22225" cap="rnd">
              <a:solidFill>
                <a:schemeClr val="accent5">
                  <a:lumMod val="80000"/>
                  <a:lumOff val="20000"/>
                </a:schemeClr>
              </a:solidFill>
            </a:ln>
            <a:effectLst>
              <a:glow rad="139700">
                <a:schemeClr val="accent5">
                  <a:lumMod val="80000"/>
                  <a:lumOff val="20000"/>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Sheet5!$R$5:$R$17</c:f>
              <c:numCache>
                <c:formatCode>General</c:formatCode>
                <c:ptCount val="12"/>
                <c:pt idx="0">
                  <c:v>3498961</c:v>
                </c:pt>
                <c:pt idx="1">
                  <c:v>2648733</c:v>
                </c:pt>
                <c:pt idx="2">
                  <c:v>2437358</c:v>
                </c:pt>
                <c:pt idx="3">
                  <c:v>2834058</c:v>
                </c:pt>
                <c:pt idx="4">
                  <c:v>3126763</c:v>
                </c:pt>
                <c:pt idx="5">
                  <c:v>2119346</c:v>
                </c:pt>
                <c:pt idx="6">
                  <c:v>1475297</c:v>
                </c:pt>
                <c:pt idx="7">
                  <c:v>1388511</c:v>
                </c:pt>
                <c:pt idx="8">
                  <c:v>2860385</c:v>
                </c:pt>
                <c:pt idx="9">
                  <c:v>2793779.5</c:v>
                </c:pt>
                <c:pt idx="10">
                  <c:v>1253686.05</c:v>
                </c:pt>
                <c:pt idx="11">
                  <c:v>1641887</c:v>
                </c:pt>
              </c:numCache>
            </c:numRef>
          </c:val>
          <c:smooth val="0"/>
          <c:extLst>
            <c:ext xmlns:c16="http://schemas.microsoft.com/office/drawing/2014/chart" uri="{C3380CC4-5D6E-409C-BE32-E72D297353CC}">
              <c16:uniqueId val="{00000028-72FB-4EBD-BC51-D507AD8BD6D7}"/>
            </c:ext>
          </c:extLst>
        </c:ser>
        <c:ser>
          <c:idx val="17"/>
          <c:order val="17"/>
          <c:tx>
            <c:strRef>
              <c:f>Sheet5!$S$3:$S$4</c:f>
              <c:strCache>
                <c:ptCount val="1"/>
                <c:pt idx="0">
                  <c:v>Branch 20</c:v>
                </c:pt>
              </c:strCache>
            </c:strRef>
          </c:tx>
          <c:spPr>
            <a:ln w="22225" cap="rnd">
              <a:solidFill>
                <a:schemeClr val="accent6">
                  <a:lumMod val="80000"/>
                  <a:lumOff val="20000"/>
                </a:schemeClr>
              </a:solidFill>
            </a:ln>
            <a:effectLst>
              <a:glow rad="139700">
                <a:schemeClr val="accent6">
                  <a:lumMod val="80000"/>
                  <a:lumOff val="20000"/>
                  <a:satMod val="175000"/>
                  <a:alpha val="14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cat>
            <c:strRef>
              <c:f>Sheet5!$A$5:$A$17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Sheet5!$S$5:$S$17</c:f>
              <c:numCache>
                <c:formatCode>General</c:formatCode>
                <c:ptCount val="12"/>
                <c:pt idx="0">
                  <c:v>196800</c:v>
                </c:pt>
              </c:numCache>
            </c:numRef>
          </c:val>
          <c:smooth val="0"/>
          <c:extLst>
            <c:ext xmlns:c16="http://schemas.microsoft.com/office/drawing/2014/chart" uri="{C3380CC4-5D6E-409C-BE32-E72D297353CC}">
              <c16:uniqueId val="{00000029-72FB-4EBD-BC51-D507AD8BD6D7}"/>
            </c:ext>
          </c:extLst>
        </c:ser>
        <c:dLbls>
          <c:showLegendKey val="0"/>
          <c:showVal val="0"/>
          <c:showCatName val="0"/>
          <c:showSerName val="0"/>
          <c:showPercent val="0"/>
          <c:showBubbleSize val="0"/>
        </c:dLbls>
        <c:marker val="1"/>
        <c:smooth val="0"/>
        <c:axId val="555992016"/>
        <c:axId val="555992848"/>
      </c:lineChart>
      <c:catAx>
        <c:axId val="555992016"/>
        <c:scaling>
          <c:orientation val="minMax"/>
        </c:scaling>
        <c:delete val="1"/>
        <c:axPos val="b"/>
        <c:numFmt formatCode="General" sourceLinked="1"/>
        <c:majorTickMark val="none"/>
        <c:minorTickMark val="none"/>
        <c:tickLblPos val="nextTo"/>
        <c:crossAx val="555992848"/>
        <c:crosses val="autoZero"/>
        <c:auto val="1"/>
        <c:lblAlgn val="ctr"/>
        <c:lblOffset val="100"/>
        <c:noMultiLvlLbl val="0"/>
      </c:catAx>
      <c:valAx>
        <c:axId val="555992848"/>
        <c:scaling>
          <c:orientation val="minMax"/>
        </c:scaling>
        <c:delete val="1"/>
        <c:axPos val="l"/>
        <c:numFmt formatCode="General" sourceLinked="1"/>
        <c:majorTickMark val="none"/>
        <c:minorTickMark val="none"/>
        <c:tickLblPos val="nextTo"/>
        <c:crossAx val="555992016"/>
        <c:crosses val="autoZero"/>
        <c:crossBetween val="between"/>
      </c:valAx>
      <c:spPr>
        <a:solidFill>
          <a:srgbClr val="002060"/>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50800</xdr:colOff>
      <xdr:row>0</xdr:row>
      <xdr:rowOff>101600</xdr:rowOff>
    </xdr:from>
    <xdr:to>
      <xdr:col>5</xdr:col>
      <xdr:colOff>241300</xdr:colOff>
      <xdr:row>11</xdr:row>
      <xdr:rowOff>6350</xdr:rowOff>
    </xdr:to>
    <xdr:graphicFrame macro="">
      <xdr:nvGraphicFramePr>
        <xdr:cNvPr id="2" name="Chart 1">
          <a:extLst>
            <a:ext uri="{FF2B5EF4-FFF2-40B4-BE49-F238E27FC236}">
              <a16:creationId xmlns:a16="http://schemas.microsoft.com/office/drawing/2014/main" id="{9850D6B1-8F62-4710-BCC3-241AFE4DB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406400</xdr:colOff>
      <xdr:row>0</xdr:row>
      <xdr:rowOff>158750</xdr:rowOff>
    </xdr:from>
    <xdr:to>
      <xdr:col>11</xdr:col>
      <xdr:colOff>476250</xdr:colOff>
      <xdr:row>11</xdr:row>
      <xdr:rowOff>50800</xdr:rowOff>
    </xdr:to>
    <xdr:graphicFrame macro="">
      <xdr:nvGraphicFramePr>
        <xdr:cNvPr id="3" name="Chart 2">
          <a:extLst>
            <a:ext uri="{FF2B5EF4-FFF2-40B4-BE49-F238E27FC236}">
              <a16:creationId xmlns:a16="http://schemas.microsoft.com/office/drawing/2014/main" id="{CCDA2B7E-AEF5-4E35-9E5B-6911CF61C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495300</xdr:colOff>
      <xdr:row>5</xdr:row>
      <xdr:rowOff>152400</xdr:rowOff>
    </xdr:from>
    <xdr:to>
      <xdr:col>4</xdr:col>
      <xdr:colOff>495300</xdr:colOff>
      <xdr:row>19</xdr:row>
      <xdr:rowOff>98425</xdr:rowOff>
    </xdr:to>
    <mc:AlternateContent xmlns:mc="http://schemas.openxmlformats.org/markup-compatibility/2006" xmlns:a14="http://schemas.microsoft.com/office/drawing/2010/main">
      <mc:Choice Requires="a14">
        <xdr:graphicFrame macro="">
          <xdr:nvGraphicFramePr>
            <xdr:cNvPr id="4" name="branch_name">
              <a:extLst>
                <a:ext uri="{FF2B5EF4-FFF2-40B4-BE49-F238E27FC236}">
                  <a16:creationId xmlns:a16="http://schemas.microsoft.com/office/drawing/2014/main" id="{8BA4DC1C-AE3D-4972-8F8C-D1860BB5392B}"/>
                </a:ext>
              </a:extLst>
            </xdr:cNvPr>
            <xdr:cNvGraphicFramePr/>
          </xdr:nvGraphicFramePr>
          <xdr:xfrm>
            <a:off x="0" y="0"/>
            <a:ext cx="0" cy="0"/>
          </xdr:xfrm>
          <a:graphic>
            <a:graphicData uri="http://schemas.microsoft.com/office/drawing/2010/slicer">
              <sle:slicer xmlns:sle="http://schemas.microsoft.com/office/drawing/2010/slicer" name="branch_name"/>
            </a:graphicData>
          </a:graphic>
        </xdr:graphicFrame>
      </mc:Choice>
      <mc:Fallback xmlns="">
        <xdr:sp macro="" textlink="">
          <xdr:nvSpPr>
            <xdr:cNvPr id="0" name=""/>
            <xdr:cNvSpPr>
              <a:spLocks noTextEdit="1"/>
            </xdr:cNvSpPr>
          </xdr:nvSpPr>
          <xdr:spPr>
            <a:xfrm>
              <a:off x="1104900" y="1073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279400</xdr:colOff>
      <xdr:row>11</xdr:row>
      <xdr:rowOff>158751</xdr:rowOff>
    </xdr:from>
    <xdr:to>
      <xdr:col>3</xdr:col>
      <xdr:colOff>279400</xdr:colOff>
      <xdr:row>17</xdr:row>
      <xdr:rowOff>50801</xdr:rowOff>
    </xdr:to>
    <mc:AlternateContent xmlns:mc="http://schemas.openxmlformats.org/markup-compatibility/2006" xmlns:a14="http://schemas.microsoft.com/office/drawing/2010/main">
      <mc:Choice Requires="a14">
        <xdr:graphicFrame macro="">
          <xdr:nvGraphicFramePr>
            <xdr:cNvPr id="5" name="sale_year">
              <a:extLst>
                <a:ext uri="{FF2B5EF4-FFF2-40B4-BE49-F238E27FC236}">
                  <a16:creationId xmlns:a16="http://schemas.microsoft.com/office/drawing/2014/main" id="{9E4E2CE9-2D5F-414F-A1C1-57C5691913BE}"/>
                </a:ext>
              </a:extLst>
            </xdr:cNvPr>
            <xdr:cNvGraphicFramePr/>
          </xdr:nvGraphicFramePr>
          <xdr:xfrm>
            <a:off x="0" y="0"/>
            <a:ext cx="0" cy="0"/>
          </xdr:xfrm>
          <a:graphic>
            <a:graphicData uri="http://schemas.microsoft.com/office/drawing/2010/slicer">
              <sle:slicer xmlns:sle="http://schemas.microsoft.com/office/drawing/2010/slicer" name="sale_year"/>
            </a:graphicData>
          </a:graphic>
        </xdr:graphicFrame>
      </mc:Choice>
      <mc:Fallback xmlns="">
        <xdr:sp macro="" textlink="">
          <xdr:nvSpPr>
            <xdr:cNvPr id="0" name=""/>
            <xdr:cNvSpPr>
              <a:spLocks noTextEdit="1"/>
            </xdr:cNvSpPr>
          </xdr:nvSpPr>
          <xdr:spPr>
            <a:xfrm>
              <a:off x="279400" y="2184401"/>
              <a:ext cx="1828800" cy="996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546100</xdr:colOff>
      <xdr:row>0</xdr:row>
      <xdr:rowOff>76200</xdr:rowOff>
    </xdr:from>
    <xdr:to>
      <xdr:col>14</xdr:col>
      <xdr:colOff>234950</xdr:colOff>
      <xdr:row>14</xdr:row>
      <xdr:rowOff>38100</xdr:rowOff>
    </xdr:to>
    <mc:AlternateContent xmlns:mc="http://schemas.openxmlformats.org/markup-compatibility/2006" xmlns:a14="http://schemas.microsoft.com/office/drawing/2010/main">
      <mc:Choice Requires="a14">
        <xdr:graphicFrame macro="">
          <xdr:nvGraphicFramePr>
            <xdr:cNvPr id="6" name="month_name">
              <a:extLst>
                <a:ext uri="{FF2B5EF4-FFF2-40B4-BE49-F238E27FC236}">
                  <a16:creationId xmlns:a16="http://schemas.microsoft.com/office/drawing/2014/main" id="{3204437D-547A-4D6D-ACF4-F66FCAC054E8}"/>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7251700" y="76200"/>
              <a:ext cx="151765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190500</xdr:colOff>
      <xdr:row>22</xdr:row>
      <xdr:rowOff>114300</xdr:rowOff>
    </xdr:to>
    <xdr:sp macro="" textlink="">
      <xdr:nvSpPr>
        <xdr:cNvPr id="2" name="TextBox 1">
          <a:extLst>
            <a:ext uri="{FF2B5EF4-FFF2-40B4-BE49-F238E27FC236}">
              <a16:creationId xmlns:a16="http://schemas.microsoft.com/office/drawing/2014/main" id="{BB622899-888F-453E-9B07-2B64D0754D9B}"/>
            </a:ext>
          </a:extLst>
        </xdr:cNvPr>
        <xdr:cNvSpPr txBox="1"/>
      </xdr:nvSpPr>
      <xdr:spPr>
        <a:xfrm>
          <a:off x="0" y="0"/>
          <a:ext cx="9334500" cy="4165600"/>
        </a:xfrm>
        <a:prstGeom prst="rect">
          <a:avLst/>
        </a:prstGeom>
        <a:ln>
          <a:solidFill>
            <a:schemeClr val="bg1"/>
          </a:solidFill>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endParaRPr lang="en-US" sz="1100" b="1" cap="none" spc="50">
            <a:ln w="0"/>
            <a:solidFill>
              <a:schemeClr val="bg1"/>
            </a:solidFill>
            <a:effectLst>
              <a:innerShdw blurRad="63500" dist="50800" dir="13500000">
                <a:srgbClr val="000000">
                  <a:alpha val="50000"/>
                </a:srgbClr>
              </a:innerShdw>
            </a:effectLst>
          </a:endParaRPr>
        </a:p>
      </xdr:txBody>
    </xdr:sp>
    <xdr:clientData/>
  </xdr:twoCellAnchor>
  <xdr:twoCellAnchor>
    <xdr:from>
      <xdr:col>3</xdr:col>
      <xdr:colOff>76200</xdr:colOff>
      <xdr:row>0</xdr:row>
      <xdr:rowOff>171450</xdr:rowOff>
    </xdr:from>
    <xdr:to>
      <xdr:col>10</xdr:col>
      <xdr:colOff>215900</xdr:colOff>
      <xdr:row>3</xdr:row>
      <xdr:rowOff>63500</xdr:rowOff>
    </xdr:to>
    <xdr:sp macro="" textlink="">
      <xdr:nvSpPr>
        <xdr:cNvPr id="4" name="TextBox 3">
          <a:extLst>
            <a:ext uri="{FF2B5EF4-FFF2-40B4-BE49-F238E27FC236}">
              <a16:creationId xmlns:a16="http://schemas.microsoft.com/office/drawing/2014/main" id="{511B42C4-EAF3-46E4-90DA-7A17CFC14129}"/>
            </a:ext>
          </a:extLst>
        </xdr:cNvPr>
        <xdr:cNvSpPr txBox="1"/>
      </xdr:nvSpPr>
      <xdr:spPr>
        <a:xfrm>
          <a:off x="1905000" y="171450"/>
          <a:ext cx="4406900" cy="4445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accent5">
                  <a:lumMod val="50000"/>
                </a:schemeClr>
              </a:solidFill>
              <a:effectLst>
                <a:outerShdw blurRad="38100" dist="19050" dir="2700000" algn="tl" rotWithShape="0">
                  <a:schemeClr val="dk1">
                    <a:alpha val="40000"/>
                  </a:schemeClr>
                </a:outerShdw>
              </a:effectLst>
              <a:latin typeface="+mn-lt"/>
              <a:ea typeface="+mn-ea"/>
              <a:cs typeface="+mn-cs"/>
            </a:rPr>
            <a:t> Goldvista Branch Revenue Dashboard</a:t>
          </a:r>
          <a:endParaRPr lang="en-US" sz="2000" b="1">
            <a:solidFill>
              <a:schemeClr val="accent5">
                <a:lumMod val="50000"/>
              </a:schemeClr>
            </a:solidFill>
            <a:effectLst/>
          </a:endParaRPr>
        </a:p>
        <a:p>
          <a:pPr algn="l"/>
          <a:endParaRPr lang="en-US" sz="1100" b="1"/>
        </a:p>
      </xdr:txBody>
    </xdr:sp>
    <xdr:clientData/>
  </xdr:twoCellAnchor>
  <xdr:twoCellAnchor>
    <xdr:from>
      <xdr:col>0</xdr:col>
      <xdr:colOff>431800</xdr:colOff>
      <xdr:row>5</xdr:row>
      <xdr:rowOff>95250</xdr:rowOff>
    </xdr:from>
    <xdr:to>
      <xdr:col>2</xdr:col>
      <xdr:colOff>438150</xdr:colOff>
      <xdr:row>7</xdr:row>
      <xdr:rowOff>57150</xdr:rowOff>
    </xdr:to>
    <xdr:sp macro="" textlink="">
      <xdr:nvSpPr>
        <xdr:cNvPr id="6" name="Rectangle: Rounded Corners 5">
          <a:extLst>
            <a:ext uri="{FF2B5EF4-FFF2-40B4-BE49-F238E27FC236}">
              <a16:creationId xmlns:a16="http://schemas.microsoft.com/office/drawing/2014/main" id="{1398C03D-04BA-4D2E-ABDE-D9B09CB9C4E7}"/>
            </a:ext>
          </a:extLst>
        </xdr:cNvPr>
        <xdr:cNvSpPr/>
      </xdr:nvSpPr>
      <xdr:spPr>
        <a:xfrm>
          <a:off x="431800" y="1016000"/>
          <a:ext cx="1225550" cy="3302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b="1"/>
            <a:t>Revenue </a:t>
          </a:r>
          <a:endParaRPr lang="en-US" sz="1100" b="1"/>
        </a:p>
      </xdr:txBody>
    </xdr:sp>
    <xdr:clientData/>
  </xdr:twoCellAnchor>
  <xdr:twoCellAnchor>
    <xdr:from>
      <xdr:col>3</xdr:col>
      <xdr:colOff>292100</xdr:colOff>
      <xdr:row>5</xdr:row>
      <xdr:rowOff>127000</xdr:rowOff>
    </xdr:from>
    <xdr:to>
      <xdr:col>5</xdr:col>
      <xdr:colOff>596900</xdr:colOff>
      <xdr:row>7</xdr:row>
      <xdr:rowOff>63500</xdr:rowOff>
    </xdr:to>
    <xdr:sp macro="" textlink="">
      <xdr:nvSpPr>
        <xdr:cNvPr id="7" name="Rectangle: Rounded Corners 6">
          <a:extLst>
            <a:ext uri="{FF2B5EF4-FFF2-40B4-BE49-F238E27FC236}">
              <a16:creationId xmlns:a16="http://schemas.microsoft.com/office/drawing/2014/main" id="{D35F37AA-4096-43AC-88CE-7C4D8154E50C}"/>
            </a:ext>
          </a:extLst>
        </xdr:cNvPr>
        <xdr:cNvSpPr/>
      </xdr:nvSpPr>
      <xdr:spPr>
        <a:xfrm>
          <a:off x="2120900" y="1047750"/>
          <a:ext cx="1524000" cy="3048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b="1"/>
            <a:t>Weight Sold </a:t>
          </a:r>
          <a:endParaRPr lang="en-US" sz="1100" b="1"/>
        </a:p>
      </xdr:txBody>
    </xdr:sp>
    <xdr:clientData/>
  </xdr:twoCellAnchor>
  <xdr:twoCellAnchor>
    <xdr:from>
      <xdr:col>6</xdr:col>
      <xdr:colOff>266700</xdr:colOff>
      <xdr:row>5</xdr:row>
      <xdr:rowOff>101600</xdr:rowOff>
    </xdr:from>
    <xdr:to>
      <xdr:col>8</xdr:col>
      <xdr:colOff>508000</xdr:colOff>
      <xdr:row>7</xdr:row>
      <xdr:rowOff>63500</xdr:rowOff>
    </xdr:to>
    <xdr:sp macro="" textlink="">
      <xdr:nvSpPr>
        <xdr:cNvPr id="8" name="Rectangle: Rounded Corners 7">
          <a:extLst>
            <a:ext uri="{FF2B5EF4-FFF2-40B4-BE49-F238E27FC236}">
              <a16:creationId xmlns:a16="http://schemas.microsoft.com/office/drawing/2014/main" id="{281E310D-1B56-456E-8E90-2C34710C9404}"/>
            </a:ext>
          </a:extLst>
        </xdr:cNvPr>
        <xdr:cNvSpPr/>
      </xdr:nvSpPr>
      <xdr:spPr>
        <a:xfrm>
          <a:off x="3924300" y="1022350"/>
          <a:ext cx="1460500" cy="3302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b="1"/>
            <a:t>Avg Transaction</a:t>
          </a:r>
          <a:endParaRPr lang="en-US" sz="1100" b="1"/>
        </a:p>
      </xdr:txBody>
    </xdr:sp>
    <xdr:clientData/>
  </xdr:twoCellAnchor>
  <xdr:twoCellAnchor>
    <xdr:from>
      <xdr:col>9</xdr:col>
      <xdr:colOff>273050</xdr:colOff>
      <xdr:row>5</xdr:row>
      <xdr:rowOff>82550</xdr:rowOff>
    </xdr:from>
    <xdr:to>
      <xdr:col>11</xdr:col>
      <xdr:colOff>450850</xdr:colOff>
      <xdr:row>7</xdr:row>
      <xdr:rowOff>69850</xdr:rowOff>
    </xdr:to>
    <xdr:sp macro="" textlink="">
      <xdr:nvSpPr>
        <xdr:cNvPr id="9" name="Rectangle: Rounded Corners 8">
          <a:extLst>
            <a:ext uri="{FF2B5EF4-FFF2-40B4-BE49-F238E27FC236}">
              <a16:creationId xmlns:a16="http://schemas.microsoft.com/office/drawing/2014/main" id="{984E72A8-A3D2-4C00-B717-20523671CCDC}"/>
            </a:ext>
          </a:extLst>
        </xdr:cNvPr>
        <xdr:cNvSpPr/>
      </xdr:nvSpPr>
      <xdr:spPr>
        <a:xfrm>
          <a:off x="5759450" y="1003300"/>
          <a:ext cx="1397000" cy="3556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b="1"/>
            <a:t>Transactions</a:t>
          </a:r>
          <a:endParaRPr lang="en-US" sz="1100" b="1"/>
        </a:p>
      </xdr:txBody>
    </xdr:sp>
    <xdr:clientData/>
  </xdr:twoCellAnchor>
  <xdr:twoCellAnchor>
    <xdr:from>
      <xdr:col>0</xdr:col>
      <xdr:colOff>431800</xdr:colOff>
      <xdr:row>8</xdr:row>
      <xdr:rowOff>82550</xdr:rowOff>
    </xdr:from>
    <xdr:to>
      <xdr:col>3</xdr:col>
      <xdr:colOff>19050</xdr:colOff>
      <xdr:row>10</xdr:row>
      <xdr:rowOff>38100</xdr:rowOff>
    </xdr:to>
    <xdr:sp macro="" textlink="'Branch Pivot'!B8">
      <xdr:nvSpPr>
        <xdr:cNvPr id="10" name="Rectangle: Rounded Corners 9">
          <a:extLst>
            <a:ext uri="{FF2B5EF4-FFF2-40B4-BE49-F238E27FC236}">
              <a16:creationId xmlns:a16="http://schemas.microsoft.com/office/drawing/2014/main" id="{00340C3B-7CA6-47A4-83BC-80CA1BEE0A33}"/>
            </a:ext>
          </a:extLst>
        </xdr:cNvPr>
        <xdr:cNvSpPr/>
      </xdr:nvSpPr>
      <xdr:spPr>
        <a:xfrm>
          <a:off x="431800" y="1555750"/>
          <a:ext cx="1416050" cy="323850"/>
        </a:xfrm>
        <a:prstGeom prst="roundRect">
          <a:avLst/>
        </a:prstGeom>
        <a:ln>
          <a:solidFill>
            <a:schemeClr val="bg1"/>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fld id="{22E43760-D1BD-4085-83B0-4070AACE7B11}" type="TxLink">
            <a:rPr lang="en-US" sz="1100" b="1" i="0" u="none" strike="noStrike" cap="none" spc="50">
              <a:ln w="0"/>
              <a:solidFill>
                <a:schemeClr val="bg1"/>
              </a:solidFill>
              <a:effectLst>
                <a:innerShdw blurRad="63500" dist="50800" dir="13500000">
                  <a:srgbClr val="000000">
                    <a:alpha val="50000"/>
                  </a:srgbClr>
                </a:innerShdw>
              </a:effectLst>
              <a:latin typeface="Calibri"/>
              <a:ea typeface="Calibri"/>
              <a:cs typeface="Calibri"/>
            </a:rPr>
            <a:pPr algn="ctr"/>
            <a:t>⃁ 1,380,095.00</a:t>
          </a:fld>
          <a:endParaRPr lang="en-US" sz="1100" b="1" cap="none" spc="50">
            <a:ln w="0"/>
            <a:solidFill>
              <a:schemeClr val="bg1"/>
            </a:solidFill>
            <a:effectLst>
              <a:innerShdw blurRad="63500" dist="50800" dir="13500000">
                <a:srgbClr val="000000">
                  <a:alpha val="50000"/>
                </a:srgbClr>
              </a:innerShdw>
            </a:effectLst>
          </a:endParaRPr>
        </a:p>
      </xdr:txBody>
    </xdr:sp>
    <xdr:clientData/>
  </xdr:twoCellAnchor>
  <xdr:twoCellAnchor>
    <xdr:from>
      <xdr:col>9</xdr:col>
      <xdr:colOff>311150</xdr:colOff>
      <xdr:row>8</xdr:row>
      <xdr:rowOff>69850</xdr:rowOff>
    </xdr:from>
    <xdr:to>
      <xdr:col>11</xdr:col>
      <xdr:colOff>508000</xdr:colOff>
      <xdr:row>10</xdr:row>
      <xdr:rowOff>25400</xdr:rowOff>
    </xdr:to>
    <xdr:sp macro="" textlink="'Branch Pivot'!D8">
      <xdr:nvSpPr>
        <xdr:cNvPr id="13" name="Rectangle: Rounded Corners 12">
          <a:extLst>
            <a:ext uri="{FF2B5EF4-FFF2-40B4-BE49-F238E27FC236}">
              <a16:creationId xmlns:a16="http://schemas.microsoft.com/office/drawing/2014/main" id="{CCC06392-D99C-42D8-A50E-BE2C243872B0}"/>
            </a:ext>
          </a:extLst>
        </xdr:cNvPr>
        <xdr:cNvSpPr/>
      </xdr:nvSpPr>
      <xdr:spPr>
        <a:xfrm>
          <a:off x="5797550" y="1543050"/>
          <a:ext cx="1416050" cy="323850"/>
        </a:xfrm>
        <a:prstGeom prst="roundRect">
          <a:avLst/>
        </a:prstGeom>
        <a:ln>
          <a:solidFill>
            <a:schemeClr val="bg1"/>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fld id="{77F6304E-975D-48F1-BE55-BA1F55000905}" type="TxLink">
            <a:rPr lang="en-US" sz="1100" b="1" i="0" u="none" strike="noStrike" cap="none" spc="50">
              <a:ln w="0"/>
              <a:solidFill>
                <a:schemeClr val="bg1"/>
              </a:solidFill>
              <a:effectLst>
                <a:innerShdw blurRad="63500" dist="50800" dir="13500000">
                  <a:srgbClr val="000000">
                    <a:alpha val="50000"/>
                  </a:srgbClr>
                </a:innerShdw>
              </a:effectLst>
              <a:latin typeface="Calibri"/>
              <a:ea typeface="Calibri"/>
              <a:cs typeface="Calibri"/>
            </a:rPr>
            <a:pPr algn="ctr"/>
            <a:t>316</a:t>
          </a:fld>
          <a:endParaRPr lang="en-US" sz="1100" b="1" cap="none" spc="50">
            <a:ln w="0"/>
            <a:solidFill>
              <a:schemeClr val="bg1"/>
            </a:solidFill>
            <a:effectLst>
              <a:innerShdw blurRad="63500" dist="50800" dir="13500000">
                <a:srgbClr val="000000">
                  <a:alpha val="50000"/>
                </a:srgbClr>
              </a:innerShdw>
            </a:effectLst>
          </a:endParaRPr>
        </a:p>
      </xdr:txBody>
    </xdr:sp>
    <xdr:clientData/>
  </xdr:twoCellAnchor>
  <xdr:twoCellAnchor>
    <xdr:from>
      <xdr:col>6</xdr:col>
      <xdr:colOff>304800</xdr:colOff>
      <xdr:row>8</xdr:row>
      <xdr:rowOff>76200</xdr:rowOff>
    </xdr:from>
    <xdr:to>
      <xdr:col>8</xdr:col>
      <xdr:colOff>501650</xdr:colOff>
      <xdr:row>10</xdr:row>
      <xdr:rowOff>31750</xdr:rowOff>
    </xdr:to>
    <xdr:sp macro="" textlink="'Branch Pivot'!E8">
      <xdr:nvSpPr>
        <xdr:cNvPr id="14" name="Rectangle: Rounded Corners 13">
          <a:extLst>
            <a:ext uri="{FF2B5EF4-FFF2-40B4-BE49-F238E27FC236}">
              <a16:creationId xmlns:a16="http://schemas.microsoft.com/office/drawing/2014/main" id="{757ED5DD-7002-4539-86E9-BD362EE57F0C}"/>
            </a:ext>
          </a:extLst>
        </xdr:cNvPr>
        <xdr:cNvSpPr/>
      </xdr:nvSpPr>
      <xdr:spPr>
        <a:xfrm>
          <a:off x="3962400" y="1549400"/>
          <a:ext cx="1416050" cy="323850"/>
        </a:xfrm>
        <a:prstGeom prst="roundRect">
          <a:avLst/>
        </a:prstGeom>
        <a:ln>
          <a:solidFill>
            <a:schemeClr val="bg1"/>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fld id="{05BBCA3C-C3E7-497B-85B1-60519D1847DA}" type="TxLink">
            <a:rPr lang="en-US" sz="1100" b="1" i="0" u="none" strike="noStrike" cap="none" spc="50">
              <a:ln w="0"/>
              <a:solidFill>
                <a:schemeClr val="bg1"/>
              </a:solidFill>
              <a:effectLst>
                <a:innerShdw blurRad="63500" dist="50800" dir="13500000">
                  <a:srgbClr val="000000">
                    <a:alpha val="50000"/>
                  </a:srgbClr>
                </a:innerShdw>
              </a:effectLst>
              <a:latin typeface="Calibri"/>
              <a:ea typeface="Calibri"/>
              <a:cs typeface="Calibri"/>
            </a:rPr>
            <a:pPr algn="ctr"/>
            <a:t>4367.39</a:t>
          </a:fld>
          <a:endParaRPr lang="en-US" sz="1100" b="1" cap="none" spc="50">
            <a:ln w="0"/>
            <a:solidFill>
              <a:schemeClr val="bg1"/>
            </a:solidFill>
            <a:effectLst>
              <a:innerShdw blurRad="63500" dist="50800" dir="13500000">
                <a:srgbClr val="000000">
                  <a:alpha val="50000"/>
                </a:srgbClr>
              </a:innerShdw>
            </a:effectLst>
          </a:endParaRPr>
        </a:p>
      </xdr:txBody>
    </xdr:sp>
    <xdr:clientData/>
  </xdr:twoCellAnchor>
  <xdr:twoCellAnchor>
    <xdr:from>
      <xdr:col>3</xdr:col>
      <xdr:colOff>330200</xdr:colOff>
      <xdr:row>8</xdr:row>
      <xdr:rowOff>76200</xdr:rowOff>
    </xdr:from>
    <xdr:to>
      <xdr:col>5</xdr:col>
      <xdr:colOff>527050</xdr:colOff>
      <xdr:row>10</xdr:row>
      <xdr:rowOff>31750</xdr:rowOff>
    </xdr:to>
    <xdr:sp macro="" textlink="'Branch Pivot'!C8">
      <xdr:nvSpPr>
        <xdr:cNvPr id="15" name="Rectangle: Rounded Corners 14">
          <a:extLst>
            <a:ext uri="{FF2B5EF4-FFF2-40B4-BE49-F238E27FC236}">
              <a16:creationId xmlns:a16="http://schemas.microsoft.com/office/drawing/2014/main" id="{0B2DE147-736E-4842-B58D-FECFDCF233EF}"/>
            </a:ext>
          </a:extLst>
        </xdr:cNvPr>
        <xdr:cNvSpPr/>
      </xdr:nvSpPr>
      <xdr:spPr>
        <a:xfrm>
          <a:off x="2159000" y="1549400"/>
          <a:ext cx="1416050" cy="323850"/>
        </a:xfrm>
        <a:prstGeom prst="roundRect">
          <a:avLst/>
        </a:prstGeom>
        <a:ln>
          <a:solidFill>
            <a:schemeClr val="bg1"/>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fld id="{C2F13AD8-7632-44D6-844D-4DBF6F1D246D}" type="TxLink">
            <a:rPr lang="en-US" sz="1100" b="1" i="0" u="none" strike="noStrike" cap="none" spc="50">
              <a:ln w="0"/>
              <a:solidFill>
                <a:schemeClr val="bg1"/>
              </a:solidFill>
              <a:effectLst>
                <a:innerShdw blurRad="63500" dist="50800" dir="13500000">
                  <a:srgbClr val="000000">
                    <a:alpha val="50000"/>
                  </a:srgbClr>
                </a:innerShdw>
              </a:effectLst>
              <a:latin typeface="Calibri"/>
              <a:ea typeface="Calibri"/>
              <a:cs typeface="Calibri"/>
            </a:rPr>
            <a:pPr algn="ctr"/>
            <a:t>3267.83</a:t>
          </a:fld>
          <a:endParaRPr lang="en-US" sz="1100" b="1" cap="none" spc="50">
            <a:ln w="0"/>
            <a:solidFill>
              <a:schemeClr val="bg1"/>
            </a:solidFill>
            <a:effectLst>
              <a:innerShdw blurRad="63500" dist="50800" dir="13500000">
                <a:srgbClr val="000000">
                  <a:alpha val="50000"/>
                </a:srgbClr>
              </a:innerShdw>
            </a:effectLst>
          </a:endParaRPr>
        </a:p>
      </xdr:txBody>
    </xdr:sp>
    <xdr:clientData/>
  </xdr:twoCellAnchor>
  <xdr:twoCellAnchor>
    <xdr:from>
      <xdr:col>0</xdr:col>
      <xdr:colOff>127000</xdr:colOff>
      <xdr:row>11</xdr:row>
      <xdr:rowOff>177800</xdr:rowOff>
    </xdr:from>
    <xdr:to>
      <xdr:col>4</xdr:col>
      <xdr:colOff>273050</xdr:colOff>
      <xdr:row>19</xdr:row>
      <xdr:rowOff>57150</xdr:rowOff>
    </xdr:to>
    <xdr:graphicFrame macro="">
      <xdr:nvGraphicFramePr>
        <xdr:cNvPr id="17" name="Chart 16">
          <a:extLst>
            <a:ext uri="{FF2B5EF4-FFF2-40B4-BE49-F238E27FC236}">
              <a16:creationId xmlns:a16="http://schemas.microsoft.com/office/drawing/2014/main" id="{AEADADF3-4EDA-4ED2-A884-E5CF6134B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400050</xdr:colOff>
      <xdr:row>11</xdr:row>
      <xdr:rowOff>82550</xdr:rowOff>
    </xdr:from>
    <xdr:to>
      <xdr:col>8</xdr:col>
      <xdr:colOff>584200</xdr:colOff>
      <xdr:row>19</xdr:row>
      <xdr:rowOff>76200</xdr:rowOff>
    </xdr:to>
    <xdr:graphicFrame macro="">
      <xdr:nvGraphicFramePr>
        <xdr:cNvPr id="18" name="Chart 17">
          <a:extLst>
            <a:ext uri="{FF2B5EF4-FFF2-40B4-BE49-F238E27FC236}">
              <a16:creationId xmlns:a16="http://schemas.microsoft.com/office/drawing/2014/main" id="{FD259E29-74A4-4472-8400-9D6D3335A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584200</xdr:colOff>
      <xdr:row>11</xdr:row>
      <xdr:rowOff>6277</xdr:rowOff>
    </xdr:from>
    <xdr:to>
      <xdr:col>14</xdr:col>
      <xdr:colOff>307489</xdr:colOff>
      <xdr:row>20</xdr:row>
      <xdr:rowOff>117475</xdr:rowOff>
    </xdr:to>
    <mc:AlternateContent xmlns:mc="http://schemas.openxmlformats.org/markup-compatibility/2006" xmlns:a14="http://schemas.microsoft.com/office/drawing/2010/main">
      <mc:Choice Requires="a14">
        <xdr:graphicFrame macro="">
          <xdr:nvGraphicFramePr>
            <xdr:cNvPr id="19" name="branch_name 1">
              <a:extLst>
                <a:ext uri="{FF2B5EF4-FFF2-40B4-BE49-F238E27FC236}">
                  <a16:creationId xmlns:a16="http://schemas.microsoft.com/office/drawing/2014/main" id="{8A5E488F-4479-48B4-A532-EAAFF7AD249F}"/>
                </a:ext>
              </a:extLst>
            </xdr:cNvPr>
            <xdr:cNvGraphicFramePr/>
          </xdr:nvGraphicFramePr>
          <xdr:xfrm>
            <a:off x="0" y="0"/>
            <a:ext cx="0" cy="0"/>
          </xdr:xfrm>
          <a:graphic>
            <a:graphicData uri="http://schemas.microsoft.com/office/drawing/2010/slicer">
              <sle:slicer xmlns:sle="http://schemas.microsoft.com/office/drawing/2010/slicer" name="branch_name 1"/>
            </a:graphicData>
          </a:graphic>
        </xdr:graphicFrame>
      </mc:Choice>
      <mc:Fallback xmlns="">
        <xdr:sp macro="" textlink="">
          <xdr:nvSpPr>
            <xdr:cNvPr id="0" name=""/>
            <xdr:cNvSpPr>
              <a:spLocks noTextEdit="1"/>
            </xdr:cNvSpPr>
          </xdr:nvSpPr>
          <xdr:spPr>
            <a:xfrm>
              <a:off x="7289800" y="2031927"/>
              <a:ext cx="1552089" cy="1768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596901</xdr:colOff>
      <xdr:row>5</xdr:row>
      <xdr:rowOff>101579</xdr:rowOff>
    </xdr:from>
    <xdr:to>
      <xdr:col>14</xdr:col>
      <xdr:colOff>273051</xdr:colOff>
      <xdr:row>10</xdr:row>
      <xdr:rowOff>146050</xdr:rowOff>
    </xdr:to>
    <mc:AlternateContent xmlns:mc="http://schemas.openxmlformats.org/markup-compatibility/2006">
      <mc:Choice xmlns:a14="http://schemas.microsoft.com/office/drawing/2010/main" Requires="a14">
        <xdr:graphicFrame macro="">
          <xdr:nvGraphicFramePr>
            <xdr:cNvPr id="20" name="sale_year 1">
              <a:extLst>
                <a:ext uri="{FF2B5EF4-FFF2-40B4-BE49-F238E27FC236}">
                  <a16:creationId xmlns:a16="http://schemas.microsoft.com/office/drawing/2014/main" id="{C9FEC48A-254A-47FD-8947-BE668F2C3C2C}"/>
                </a:ext>
              </a:extLst>
            </xdr:cNvPr>
            <xdr:cNvGraphicFramePr/>
          </xdr:nvGraphicFramePr>
          <xdr:xfrm>
            <a:off x="0" y="0"/>
            <a:ext cx="0" cy="0"/>
          </xdr:xfrm>
          <a:graphic>
            <a:graphicData uri="http://schemas.microsoft.com/office/drawing/2010/slicer">
              <sle:slicer xmlns:sle="http://schemas.microsoft.com/office/drawing/2010/slicer" name="sale_year 1"/>
            </a:graphicData>
          </a:graphic>
        </xdr:graphicFrame>
      </mc:Choice>
      <mc:Fallback>
        <xdr:sp macro="" textlink="">
          <xdr:nvSpPr>
            <xdr:cNvPr id="0" name=""/>
            <xdr:cNvSpPr>
              <a:spLocks noTextEdit="1"/>
            </xdr:cNvSpPr>
          </xdr:nvSpPr>
          <xdr:spPr>
            <a:xfrm>
              <a:off x="7302501" y="1022329"/>
              <a:ext cx="1504950" cy="965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107950</xdr:colOff>
      <xdr:row>10</xdr:row>
      <xdr:rowOff>163428</xdr:rowOff>
    </xdr:from>
    <xdr:to>
      <xdr:col>11</xdr:col>
      <xdr:colOff>457200</xdr:colOff>
      <xdr:row>20</xdr:row>
      <xdr:rowOff>101599</xdr:rowOff>
    </xdr:to>
    <mc:AlternateContent xmlns:mc="http://schemas.openxmlformats.org/markup-compatibility/2006" xmlns:a14="http://schemas.microsoft.com/office/drawing/2010/main">
      <mc:Choice Requires="a14">
        <xdr:graphicFrame macro="">
          <xdr:nvGraphicFramePr>
            <xdr:cNvPr id="21" name="month_name 1">
              <a:extLst>
                <a:ext uri="{FF2B5EF4-FFF2-40B4-BE49-F238E27FC236}">
                  <a16:creationId xmlns:a16="http://schemas.microsoft.com/office/drawing/2014/main" id="{34E587C1-B035-43F2-A546-1C21F9971114}"/>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5594350" y="2004928"/>
              <a:ext cx="1568450" cy="1779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7.502564467592" createdVersion="7" refreshedVersion="7" minRefreshableVersion="3" recordCount="188" xr:uid="{366E06EC-EF68-4D8D-8C66-82545EEC67A8}">
  <cacheSource type="worksheet">
    <worksheetSource name="Branch_Revenue_Data"/>
  </cacheSource>
  <cacheFields count="8">
    <cacheField name="branch_name" numFmtId="0">
      <sharedItems count="18">
        <s v="Branch 01"/>
        <s v="Branch 02"/>
        <s v="Branch 03"/>
        <s v="Branch 04"/>
        <s v="Branch 05"/>
        <s v="Branch 06"/>
        <s v="Branch 07"/>
        <s v="Branch 08"/>
        <s v="Branch 09"/>
        <s v="Branch 10"/>
        <s v="Branch 12"/>
        <s v="Branch 13"/>
        <s v="Branch 15"/>
        <s v="Branch 16"/>
        <s v="Branch 17"/>
        <s v="Branch 18"/>
        <s v="Branch 19"/>
        <s v="Branch 20"/>
      </sharedItems>
    </cacheField>
    <cacheField name="sale_year" numFmtId="0">
      <sharedItems containsSemiMixedTypes="0" containsString="0" containsNumber="1" containsInteger="1" minValue="2025" maxValue="2026" count="2">
        <n v="2025"/>
        <n v="2026"/>
      </sharedItems>
    </cacheField>
    <cacheField name="sale_month" numFmtId="0">
      <sharedItems containsSemiMixedTypes="0" containsString="0" containsNumber="1" containsInteger="1" minValue="1" maxValue="12" count="12">
        <n v="1"/>
        <n v="2"/>
        <n v="4"/>
        <n v="5"/>
        <n v="6"/>
        <n v="7"/>
        <n v="8"/>
        <n v="9"/>
        <n v="10"/>
        <n v="11"/>
        <n v="12"/>
        <n v="3"/>
      </sharedItems>
    </cacheField>
    <cacheField name="revenue" numFmtId="0">
      <sharedItems containsSemiMixedTypes="0" containsString="0" containsNumber="1" minValue="20421.169999999998" maxValue="7490332.9800000004"/>
    </cacheField>
    <cacheField name="weight_sold" numFmtId="0">
      <sharedItems containsSemiMixedTypes="0" containsString="0" containsNumber="1" minValue="205.83" maxValue="543238.50999999989"/>
    </cacheField>
    <cacheField name="transaction_count" numFmtId="0">
      <sharedItems containsSemiMixedTypes="0" containsString="0" containsNumber="1" containsInteger="1" minValue="5" maxValue="821"/>
    </cacheField>
    <cacheField name="avg_transaction_value" numFmtId="0">
      <sharedItems containsSemiMixedTypes="0" containsString="0" containsNumber="1" minValue="2269.02" maxValue="39360"/>
    </cacheField>
    <cacheField name="month_name" numFmtId="0">
      <sharedItems count="12">
        <s v="January"/>
        <s v="February"/>
        <s v="April"/>
        <s v="May"/>
        <s v="June"/>
        <s v="July"/>
        <s v="August"/>
        <s v="September"/>
        <s v="October"/>
        <s v="November"/>
        <s v="December"/>
        <s v="March"/>
      </sharedItems>
    </cacheField>
  </cacheFields>
  <extLst>
    <ext xmlns:x14="http://schemas.microsoft.com/office/spreadsheetml/2009/9/main" uri="{725AE2AE-9491-48be-B2B4-4EB974FC3084}">
      <x14:pivotCacheDefinition pivotCacheId="1977211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8">
  <r>
    <x v="0"/>
    <x v="0"/>
    <x v="0"/>
    <n v="1346412"/>
    <n v="3472.6600000000003"/>
    <n v="250"/>
    <n v="5385.65"/>
    <x v="0"/>
  </r>
  <r>
    <x v="0"/>
    <x v="0"/>
    <x v="1"/>
    <n v="2159513.7000000002"/>
    <n v="7094.708000000006"/>
    <n v="367"/>
    <n v="5884.23"/>
    <x v="1"/>
  </r>
  <r>
    <x v="0"/>
    <x v="0"/>
    <x v="0"/>
    <n v="2663894"/>
    <n v="7277.4700000000075"/>
    <n v="494"/>
    <n v="5392.5"/>
    <x v="0"/>
  </r>
  <r>
    <x v="0"/>
    <x v="0"/>
    <x v="2"/>
    <n v="3577391"/>
    <n v="9107.4060000000118"/>
    <n v="501"/>
    <n v="7140.5"/>
    <x v="2"/>
  </r>
  <r>
    <x v="0"/>
    <x v="0"/>
    <x v="3"/>
    <n v="4423701"/>
    <n v="11274.420000000015"/>
    <n v="656"/>
    <n v="6743.45"/>
    <x v="3"/>
  </r>
  <r>
    <x v="0"/>
    <x v="0"/>
    <x v="4"/>
    <n v="2773682"/>
    <n v="7061.5000000000064"/>
    <n v="407"/>
    <n v="6814.94"/>
    <x v="4"/>
  </r>
  <r>
    <x v="0"/>
    <x v="0"/>
    <x v="5"/>
    <n v="1807820"/>
    <n v="4692.5899999999992"/>
    <n v="311"/>
    <n v="5812.93"/>
    <x v="5"/>
  </r>
  <r>
    <x v="0"/>
    <x v="0"/>
    <x v="6"/>
    <n v="2010867"/>
    <n v="6938.0900000000011"/>
    <n v="360"/>
    <n v="5585.74"/>
    <x v="6"/>
  </r>
  <r>
    <x v="0"/>
    <x v="0"/>
    <x v="7"/>
    <n v="2001533"/>
    <n v="5486.480000000005"/>
    <n v="361"/>
    <n v="5544.41"/>
    <x v="7"/>
  </r>
  <r>
    <x v="0"/>
    <x v="0"/>
    <x v="8"/>
    <n v="3081978"/>
    <n v="10263.260000000007"/>
    <n v="432"/>
    <n v="7134.21"/>
    <x v="8"/>
  </r>
  <r>
    <x v="0"/>
    <x v="0"/>
    <x v="9"/>
    <n v="1664317"/>
    <n v="4508.239999999998"/>
    <n v="300"/>
    <n v="5547.72"/>
    <x v="9"/>
  </r>
  <r>
    <x v="0"/>
    <x v="0"/>
    <x v="10"/>
    <n v="1774468"/>
    <n v="11204.5"/>
    <n v="328"/>
    <n v="5409.96"/>
    <x v="10"/>
  </r>
  <r>
    <x v="0"/>
    <x v="1"/>
    <x v="0"/>
    <n v="3513045"/>
    <n v="61897.69000000001"/>
    <n v="471"/>
    <n v="7458.69"/>
    <x v="0"/>
  </r>
  <r>
    <x v="0"/>
    <x v="1"/>
    <x v="1"/>
    <n v="1020189"/>
    <n v="3803.0699999999974"/>
    <n v="164"/>
    <n v="6220.66"/>
    <x v="1"/>
  </r>
  <r>
    <x v="1"/>
    <x v="0"/>
    <x v="0"/>
    <n v="969242"/>
    <n v="2455.838999999999"/>
    <n v="176"/>
    <n v="5507.06"/>
    <x v="0"/>
  </r>
  <r>
    <x v="1"/>
    <x v="0"/>
    <x v="1"/>
    <n v="2962986"/>
    <n v="8751.5279999999984"/>
    <n v="373"/>
    <n v="7943.66"/>
    <x v="1"/>
  </r>
  <r>
    <x v="1"/>
    <x v="0"/>
    <x v="11"/>
    <n v="2647159"/>
    <n v="7937.2300000000087"/>
    <n v="394"/>
    <n v="6718.68"/>
    <x v="11"/>
  </r>
  <r>
    <x v="1"/>
    <x v="0"/>
    <x v="2"/>
    <n v="3630299"/>
    <n v="13502.050000000003"/>
    <n v="471"/>
    <n v="7707.64"/>
    <x v="2"/>
  </r>
  <r>
    <x v="1"/>
    <x v="0"/>
    <x v="3"/>
    <n v="4849024"/>
    <n v="15474.140000000014"/>
    <n v="537"/>
    <n v="9029.84"/>
    <x v="3"/>
  </r>
  <r>
    <x v="1"/>
    <x v="0"/>
    <x v="4"/>
    <n v="2438467"/>
    <n v="7180.520000000005"/>
    <n v="343"/>
    <n v="7109.23"/>
    <x v="4"/>
  </r>
  <r>
    <x v="1"/>
    <x v="0"/>
    <x v="5"/>
    <n v="2235970"/>
    <n v="5860.3600000000015"/>
    <n v="247"/>
    <n v="9052.51"/>
    <x v="5"/>
  </r>
  <r>
    <x v="1"/>
    <x v="0"/>
    <x v="6"/>
    <n v="2900660"/>
    <n v="8341.8199999999906"/>
    <n v="253"/>
    <n v="11465.06"/>
    <x v="6"/>
  </r>
  <r>
    <x v="1"/>
    <x v="0"/>
    <x v="7"/>
    <n v="2994530.8"/>
    <n v="7991.6800000000085"/>
    <n v="370"/>
    <n v="8093.33"/>
    <x v="7"/>
  </r>
  <r>
    <x v="1"/>
    <x v="0"/>
    <x v="8"/>
    <n v="4902284"/>
    <n v="50366.540999999983"/>
    <n v="492"/>
    <n v="9963.99"/>
    <x v="8"/>
  </r>
  <r>
    <x v="1"/>
    <x v="0"/>
    <x v="9"/>
    <n v="1681494"/>
    <n v="7355.1850000000095"/>
    <n v="310"/>
    <n v="5424.17"/>
    <x v="9"/>
  </r>
  <r>
    <x v="1"/>
    <x v="0"/>
    <x v="10"/>
    <n v="2524278"/>
    <n v="25016.399999999998"/>
    <n v="396"/>
    <n v="6374.44"/>
    <x v="10"/>
  </r>
  <r>
    <x v="1"/>
    <x v="1"/>
    <x v="0"/>
    <n v="1104222.94"/>
    <n v="34874.559999999998"/>
    <n v="153"/>
    <n v="7217.14"/>
    <x v="0"/>
  </r>
  <r>
    <x v="2"/>
    <x v="0"/>
    <x v="5"/>
    <n v="1141560"/>
    <n v="2808.1299999999997"/>
    <n v="264"/>
    <n v="4324.09"/>
    <x v="5"/>
  </r>
  <r>
    <x v="2"/>
    <x v="0"/>
    <x v="6"/>
    <n v="1194812"/>
    <n v="2886.809999999999"/>
    <n v="314"/>
    <n v="3805.13"/>
    <x v="6"/>
  </r>
  <r>
    <x v="2"/>
    <x v="0"/>
    <x v="7"/>
    <n v="2213860.5"/>
    <n v="5028.0399999999936"/>
    <n v="446"/>
    <n v="4963.8100000000004"/>
    <x v="7"/>
  </r>
  <r>
    <x v="2"/>
    <x v="0"/>
    <x v="8"/>
    <n v="3357326.25"/>
    <n v="39431.159999999974"/>
    <n v="614"/>
    <n v="5467.96"/>
    <x v="8"/>
  </r>
  <r>
    <x v="2"/>
    <x v="0"/>
    <x v="9"/>
    <n v="2509419"/>
    <n v="5348.930000000003"/>
    <n v="473"/>
    <n v="5305.33"/>
    <x v="9"/>
  </r>
  <r>
    <x v="2"/>
    <x v="0"/>
    <x v="10"/>
    <n v="2286757.5"/>
    <n v="16737.632999999991"/>
    <n v="482"/>
    <n v="4744.3100000000004"/>
    <x v="10"/>
  </r>
  <r>
    <x v="2"/>
    <x v="1"/>
    <x v="0"/>
    <n v="5487968.7999999998"/>
    <n v="57033.292999999991"/>
    <n v="715"/>
    <n v="7675.48"/>
    <x v="0"/>
  </r>
  <r>
    <x v="2"/>
    <x v="1"/>
    <x v="1"/>
    <n v="1735685"/>
    <n v="2998.5199999999991"/>
    <n v="234"/>
    <n v="7417.46"/>
    <x v="1"/>
  </r>
  <r>
    <x v="3"/>
    <x v="0"/>
    <x v="0"/>
    <n v="1611460"/>
    <n v="3265.3969999999995"/>
    <n v="365"/>
    <n v="4414.96"/>
    <x v="0"/>
  </r>
  <r>
    <x v="3"/>
    <x v="0"/>
    <x v="1"/>
    <n v="2465753"/>
    <n v="8349.1960000000017"/>
    <n v="433"/>
    <n v="5694.58"/>
    <x v="1"/>
  </r>
  <r>
    <x v="3"/>
    <x v="0"/>
    <x v="11"/>
    <n v="527860"/>
    <n v="1447.4999999999993"/>
    <n v="111"/>
    <n v="4755.5"/>
    <x v="11"/>
  </r>
  <r>
    <x v="4"/>
    <x v="0"/>
    <x v="0"/>
    <n v="849980"/>
    <n v="1832.4290000000005"/>
    <n v="137"/>
    <n v="6204.23"/>
    <x v="0"/>
  </r>
  <r>
    <x v="4"/>
    <x v="0"/>
    <x v="1"/>
    <n v="1301285"/>
    <n v="3345.9510000000018"/>
    <n v="325"/>
    <n v="4003.95"/>
    <x v="1"/>
  </r>
  <r>
    <x v="4"/>
    <x v="0"/>
    <x v="11"/>
    <n v="2076905"/>
    <n v="7339.5800000000063"/>
    <n v="425"/>
    <n v="4886.84"/>
    <x v="11"/>
  </r>
  <r>
    <x v="4"/>
    <x v="0"/>
    <x v="2"/>
    <n v="2286780"/>
    <n v="11965.854000000014"/>
    <n v="380"/>
    <n v="6017.84"/>
    <x v="2"/>
  </r>
  <r>
    <x v="4"/>
    <x v="0"/>
    <x v="3"/>
    <n v="2165195"/>
    <n v="5247.8590000000086"/>
    <n v="433"/>
    <n v="5000.45"/>
    <x v="3"/>
  </r>
  <r>
    <x v="4"/>
    <x v="0"/>
    <x v="4"/>
    <n v="1550850"/>
    <n v="3584.2300000000018"/>
    <n v="292"/>
    <n v="5311.13"/>
    <x v="4"/>
  </r>
  <r>
    <x v="4"/>
    <x v="0"/>
    <x v="5"/>
    <n v="1180500"/>
    <n v="2809.9999999999986"/>
    <n v="275"/>
    <n v="4292.7299999999996"/>
    <x v="5"/>
  </r>
  <r>
    <x v="4"/>
    <x v="0"/>
    <x v="6"/>
    <n v="1362815"/>
    <n v="3181.3799999999983"/>
    <n v="306"/>
    <n v="4453.6400000000003"/>
    <x v="6"/>
  </r>
  <r>
    <x v="4"/>
    <x v="0"/>
    <x v="7"/>
    <n v="1182282"/>
    <n v="13035.720000000003"/>
    <n v="310"/>
    <n v="3813.81"/>
    <x v="7"/>
  </r>
  <r>
    <x v="4"/>
    <x v="0"/>
    <x v="8"/>
    <n v="2071220"/>
    <n v="24812.380000000016"/>
    <n v="370"/>
    <n v="5597.89"/>
    <x v="8"/>
  </r>
  <r>
    <x v="4"/>
    <x v="0"/>
    <x v="9"/>
    <n v="1368375"/>
    <n v="18340.699999999997"/>
    <n v="309"/>
    <n v="4428.3999999999996"/>
    <x v="9"/>
  </r>
  <r>
    <x v="4"/>
    <x v="0"/>
    <x v="10"/>
    <n v="1868895"/>
    <n v="38391.219999999987"/>
    <n v="385"/>
    <n v="4854.2700000000004"/>
    <x v="10"/>
  </r>
  <r>
    <x v="4"/>
    <x v="1"/>
    <x v="0"/>
    <n v="4230144.99"/>
    <n v="139522.29000000004"/>
    <n v="486"/>
    <n v="8704"/>
    <x v="0"/>
  </r>
  <r>
    <x v="4"/>
    <x v="1"/>
    <x v="1"/>
    <n v="558535"/>
    <n v="1886.6800000000005"/>
    <n v="108"/>
    <n v="5171.62"/>
    <x v="1"/>
  </r>
  <r>
    <x v="5"/>
    <x v="0"/>
    <x v="0"/>
    <n v="895695"/>
    <n v="2974.5400000000013"/>
    <n v="247"/>
    <n v="3626.3"/>
    <x v="0"/>
  </r>
  <r>
    <x v="5"/>
    <x v="0"/>
    <x v="1"/>
    <n v="1470844"/>
    <n v="3983.5690000000004"/>
    <n v="330"/>
    <n v="4457.1000000000004"/>
    <x v="1"/>
  </r>
  <r>
    <x v="5"/>
    <x v="0"/>
    <x v="11"/>
    <n v="276165"/>
    <n v="723.48000000000013"/>
    <n v="82"/>
    <n v="3367.87"/>
    <x v="11"/>
  </r>
  <r>
    <x v="6"/>
    <x v="0"/>
    <x v="0"/>
    <n v="1268704"/>
    <n v="2817.159000000001"/>
    <n v="254"/>
    <n v="4994.8999999999996"/>
    <x v="0"/>
  </r>
  <r>
    <x v="6"/>
    <x v="0"/>
    <x v="1"/>
    <n v="1257855"/>
    <n v="2978.3500000000013"/>
    <n v="306"/>
    <n v="4110.6400000000003"/>
    <x v="1"/>
  </r>
  <r>
    <x v="6"/>
    <x v="0"/>
    <x v="11"/>
    <n v="2187325"/>
    <n v="6065.2200000000066"/>
    <n v="472"/>
    <n v="4634.16"/>
    <x v="11"/>
  </r>
  <r>
    <x v="6"/>
    <x v="0"/>
    <x v="2"/>
    <n v="2379143"/>
    <n v="6694.9730000000018"/>
    <n v="419"/>
    <n v="5678.15"/>
    <x v="2"/>
  </r>
  <r>
    <x v="6"/>
    <x v="0"/>
    <x v="3"/>
    <n v="2361365"/>
    <n v="5392.1099999999942"/>
    <n v="478"/>
    <n v="4940.09"/>
    <x v="3"/>
  </r>
  <r>
    <x v="6"/>
    <x v="0"/>
    <x v="4"/>
    <n v="1704910"/>
    <n v="5970.329999999999"/>
    <n v="391"/>
    <n v="4360.38"/>
    <x v="4"/>
  </r>
  <r>
    <x v="6"/>
    <x v="0"/>
    <x v="5"/>
    <n v="1822722"/>
    <n v="3916.5099999999961"/>
    <n v="359"/>
    <n v="5077.22"/>
    <x v="5"/>
  </r>
  <r>
    <x v="6"/>
    <x v="0"/>
    <x v="6"/>
    <n v="1484339"/>
    <n v="6074.2999999999984"/>
    <n v="341"/>
    <n v="4352.8999999999996"/>
    <x v="6"/>
  </r>
  <r>
    <x v="6"/>
    <x v="0"/>
    <x v="7"/>
    <n v="2136445"/>
    <n v="11253.429999999998"/>
    <n v="371"/>
    <n v="5758.61"/>
    <x v="7"/>
  </r>
  <r>
    <x v="6"/>
    <x v="0"/>
    <x v="8"/>
    <n v="2691868"/>
    <n v="25439.449999999975"/>
    <n v="466"/>
    <n v="5776.54"/>
    <x v="8"/>
  </r>
  <r>
    <x v="6"/>
    <x v="0"/>
    <x v="9"/>
    <n v="2289656"/>
    <n v="9953.0530000000072"/>
    <n v="405"/>
    <n v="5653.47"/>
    <x v="9"/>
  </r>
  <r>
    <x v="6"/>
    <x v="0"/>
    <x v="10"/>
    <n v="2335362"/>
    <n v="28427.726999999999"/>
    <n v="392"/>
    <n v="5957.56"/>
    <x v="10"/>
  </r>
  <r>
    <x v="6"/>
    <x v="1"/>
    <x v="0"/>
    <n v="3558552"/>
    <n v="50796.009999999966"/>
    <n v="472"/>
    <n v="7539.31"/>
    <x v="0"/>
  </r>
  <r>
    <x v="6"/>
    <x v="1"/>
    <x v="1"/>
    <n v="871325"/>
    <n v="8206.9000000000015"/>
    <n v="138"/>
    <n v="6313.95"/>
    <x v="1"/>
  </r>
  <r>
    <x v="7"/>
    <x v="0"/>
    <x v="0"/>
    <n v="781876"/>
    <n v="1806.8889999999985"/>
    <n v="278"/>
    <n v="2812.5"/>
    <x v="0"/>
  </r>
  <r>
    <x v="7"/>
    <x v="0"/>
    <x v="1"/>
    <n v="1704837"/>
    <n v="4186.0999999999995"/>
    <n v="507"/>
    <n v="3362.6"/>
    <x v="1"/>
  </r>
  <r>
    <x v="7"/>
    <x v="0"/>
    <x v="11"/>
    <n v="2686355"/>
    <n v="6383.0400000000027"/>
    <n v="821"/>
    <n v="3272.05"/>
    <x v="11"/>
  </r>
  <r>
    <x v="7"/>
    <x v="0"/>
    <x v="2"/>
    <n v="1516311"/>
    <n v="3414.5800000000017"/>
    <n v="476"/>
    <n v="3185.53"/>
    <x v="2"/>
  </r>
  <r>
    <x v="7"/>
    <x v="0"/>
    <x v="3"/>
    <n v="1820764"/>
    <n v="5987.7199999999984"/>
    <n v="625"/>
    <n v="2913.22"/>
    <x v="3"/>
  </r>
  <r>
    <x v="7"/>
    <x v="0"/>
    <x v="4"/>
    <n v="1842641"/>
    <n v="4015.7199999999948"/>
    <n v="563"/>
    <n v="3272.9"/>
    <x v="4"/>
  </r>
  <r>
    <x v="7"/>
    <x v="0"/>
    <x v="5"/>
    <n v="1519037"/>
    <n v="3271.8899999999967"/>
    <n v="470"/>
    <n v="3231.99"/>
    <x v="5"/>
  </r>
  <r>
    <x v="7"/>
    <x v="0"/>
    <x v="6"/>
    <n v="1658296"/>
    <n v="3527.6799999999976"/>
    <n v="514"/>
    <n v="3226.26"/>
    <x v="6"/>
  </r>
  <r>
    <x v="7"/>
    <x v="0"/>
    <x v="7"/>
    <n v="2393485"/>
    <n v="11057.010000000006"/>
    <n v="650"/>
    <n v="3682.28"/>
    <x v="7"/>
  </r>
  <r>
    <x v="7"/>
    <x v="0"/>
    <x v="8"/>
    <n v="2764498"/>
    <n v="7019.2499999999982"/>
    <n v="735"/>
    <n v="3761.22"/>
    <x v="8"/>
  </r>
  <r>
    <x v="7"/>
    <x v="0"/>
    <x v="9"/>
    <n v="1909045"/>
    <n v="3423.3800000000028"/>
    <n v="506"/>
    <n v="3772.82"/>
    <x v="9"/>
  </r>
  <r>
    <x v="7"/>
    <x v="0"/>
    <x v="10"/>
    <n v="2175756.5"/>
    <n v="3746.8589999999995"/>
    <n v="553"/>
    <n v="3934.46"/>
    <x v="10"/>
  </r>
  <r>
    <x v="7"/>
    <x v="1"/>
    <x v="0"/>
    <n v="3200407"/>
    <n v="28898.330000000016"/>
    <n v="646"/>
    <n v="4954.1899999999996"/>
    <x v="0"/>
  </r>
  <r>
    <x v="7"/>
    <x v="1"/>
    <x v="1"/>
    <n v="1279329"/>
    <n v="41139.849999999984"/>
    <n v="206"/>
    <n v="6210.33"/>
    <x v="1"/>
  </r>
  <r>
    <x v="8"/>
    <x v="0"/>
    <x v="0"/>
    <n v="688190"/>
    <n v="1601.0299999999995"/>
    <n v="142"/>
    <n v="4846.41"/>
    <x v="0"/>
  </r>
  <r>
    <x v="8"/>
    <x v="0"/>
    <x v="1"/>
    <n v="1294391"/>
    <n v="3687.1699999999996"/>
    <n v="253"/>
    <n v="5116.17"/>
    <x v="1"/>
  </r>
  <r>
    <x v="8"/>
    <x v="0"/>
    <x v="11"/>
    <n v="1797550"/>
    <n v="7804.359999999996"/>
    <n v="308"/>
    <n v="5836.2"/>
    <x v="11"/>
  </r>
  <r>
    <x v="8"/>
    <x v="0"/>
    <x v="2"/>
    <n v="2845909"/>
    <n v="11275.690000000013"/>
    <n v="395"/>
    <n v="7204.83"/>
    <x v="2"/>
  </r>
  <r>
    <x v="8"/>
    <x v="0"/>
    <x v="3"/>
    <n v="2647020"/>
    <n v="15483.920000000002"/>
    <n v="438"/>
    <n v="6043.42"/>
    <x v="3"/>
  </r>
  <r>
    <x v="8"/>
    <x v="0"/>
    <x v="4"/>
    <n v="1391570"/>
    <n v="4652.6800000000048"/>
    <n v="243"/>
    <n v="5726.63"/>
    <x v="4"/>
  </r>
  <r>
    <x v="8"/>
    <x v="0"/>
    <x v="5"/>
    <n v="1152750"/>
    <n v="3939.9499999999994"/>
    <n v="210"/>
    <n v="5489.29"/>
    <x v="5"/>
  </r>
  <r>
    <x v="8"/>
    <x v="0"/>
    <x v="6"/>
    <n v="1252938"/>
    <n v="3179.9799999999991"/>
    <n v="209"/>
    <n v="5994.92"/>
    <x v="6"/>
  </r>
  <r>
    <x v="8"/>
    <x v="0"/>
    <x v="7"/>
    <n v="1796990"/>
    <n v="7240.2900000000009"/>
    <n v="270"/>
    <n v="6655.52"/>
    <x v="7"/>
  </r>
  <r>
    <x v="8"/>
    <x v="0"/>
    <x v="8"/>
    <n v="2118183"/>
    <n v="8294.4100000000089"/>
    <n v="383"/>
    <n v="5530.5"/>
    <x v="8"/>
  </r>
  <r>
    <x v="8"/>
    <x v="0"/>
    <x v="9"/>
    <n v="1038682"/>
    <n v="2107.8789999999981"/>
    <n v="240"/>
    <n v="4327.84"/>
    <x v="9"/>
  </r>
  <r>
    <x v="8"/>
    <x v="0"/>
    <x v="10"/>
    <n v="1301523"/>
    <n v="8852.9499999999971"/>
    <n v="222"/>
    <n v="5862.72"/>
    <x v="10"/>
  </r>
  <r>
    <x v="8"/>
    <x v="1"/>
    <x v="0"/>
    <n v="1976235"/>
    <n v="29940.689999999991"/>
    <n v="278"/>
    <n v="7108.76"/>
    <x v="0"/>
  </r>
  <r>
    <x v="8"/>
    <x v="1"/>
    <x v="1"/>
    <n v="556192"/>
    <n v="968.27"/>
    <n v="90"/>
    <n v="6179.91"/>
    <x v="1"/>
  </r>
  <r>
    <x v="9"/>
    <x v="0"/>
    <x v="0"/>
    <n v="964345"/>
    <n v="2176.41"/>
    <n v="230"/>
    <n v="4192.8"/>
    <x v="0"/>
  </r>
  <r>
    <x v="9"/>
    <x v="0"/>
    <x v="1"/>
    <n v="1664810"/>
    <n v="6474.3490000000011"/>
    <n v="370"/>
    <n v="4499.49"/>
    <x v="1"/>
  </r>
  <r>
    <x v="9"/>
    <x v="0"/>
    <x v="11"/>
    <n v="2300450"/>
    <n v="9299.9280000000108"/>
    <n v="559"/>
    <n v="4115.3"/>
    <x v="11"/>
  </r>
  <r>
    <x v="9"/>
    <x v="0"/>
    <x v="2"/>
    <n v="1462590"/>
    <n v="6955.6500000000015"/>
    <n v="279"/>
    <n v="5242.26"/>
    <x v="2"/>
  </r>
  <r>
    <x v="9"/>
    <x v="0"/>
    <x v="3"/>
    <n v="2242835"/>
    <n v="7668.9399999999969"/>
    <n v="430"/>
    <n v="5215.8999999999996"/>
    <x v="3"/>
  </r>
  <r>
    <x v="9"/>
    <x v="0"/>
    <x v="4"/>
    <n v="1365810"/>
    <n v="3401.4299999999994"/>
    <n v="312"/>
    <n v="4377.6000000000004"/>
    <x v="4"/>
  </r>
  <r>
    <x v="9"/>
    <x v="0"/>
    <x v="5"/>
    <n v="927215"/>
    <n v="2154.8499999999976"/>
    <n v="214"/>
    <n v="4332.78"/>
    <x v="5"/>
  </r>
  <r>
    <x v="9"/>
    <x v="0"/>
    <x v="6"/>
    <n v="971095"/>
    <n v="2271.9600000000005"/>
    <n v="239"/>
    <n v="4063.16"/>
    <x v="6"/>
  </r>
  <r>
    <x v="9"/>
    <x v="0"/>
    <x v="7"/>
    <n v="1287820"/>
    <n v="4920.0799999999981"/>
    <n v="263"/>
    <n v="4896.6499999999996"/>
    <x v="7"/>
  </r>
  <r>
    <x v="9"/>
    <x v="0"/>
    <x v="8"/>
    <n v="1782760"/>
    <n v="13977.639999999998"/>
    <n v="337"/>
    <n v="5290.09"/>
    <x v="8"/>
  </r>
  <r>
    <x v="9"/>
    <x v="0"/>
    <x v="9"/>
    <n v="1540815"/>
    <n v="4976.7200000000048"/>
    <n v="268"/>
    <n v="5749.31"/>
    <x v="9"/>
  </r>
  <r>
    <x v="9"/>
    <x v="0"/>
    <x v="10"/>
    <n v="1631860"/>
    <n v="6978.6"/>
    <n v="278"/>
    <n v="5870"/>
    <x v="10"/>
  </r>
  <r>
    <x v="9"/>
    <x v="1"/>
    <x v="0"/>
    <n v="1745375"/>
    <n v="22291.979999999996"/>
    <n v="309"/>
    <n v="5648.46"/>
    <x v="0"/>
  </r>
  <r>
    <x v="9"/>
    <x v="1"/>
    <x v="1"/>
    <n v="700680"/>
    <n v="4058.3199999999993"/>
    <n v="124"/>
    <n v="5650.65"/>
    <x v="1"/>
  </r>
  <r>
    <x v="10"/>
    <x v="0"/>
    <x v="0"/>
    <n v="1132935"/>
    <n v="1711.2999999999995"/>
    <n v="232"/>
    <n v="4883.34"/>
    <x v="0"/>
  </r>
  <r>
    <x v="10"/>
    <x v="0"/>
    <x v="1"/>
    <n v="1557542"/>
    <n v="4008.9289999999987"/>
    <n v="327"/>
    <n v="4763.13"/>
    <x v="1"/>
  </r>
  <r>
    <x v="10"/>
    <x v="0"/>
    <x v="11"/>
    <n v="2377075"/>
    <n v="6052.4299999999994"/>
    <n v="449"/>
    <n v="5294.15"/>
    <x v="11"/>
  </r>
  <r>
    <x v="10"/>
    <x v="0"/>
    <x v="2"/>
    <n v="1620140"/>
    <n v="6720.5700000000079"/>
    <n v="306"/>
    <n v="5294.58"/>
    <x v="2"/>
  </r>
  <r>
    <x v="10"/>
    <x v="0"/>
    <x v="3"/>
    <n v="1804331"/>
    <n v="4144.7720000000008"/>
    <n v="341"/>
    <n v="5291.29"/>
    <x v="3"/>
  </r>
  <r>
    <x v="10"/>
    <x v="0"/>
    <x v="4"/>
    <n v="1218640"/>
    <n v="2761.8400000000006"/>
    <n v="255"/>
    <n v="4778.9799999999996"/>
    <x v="4"/>
  </r>
  <r>
    <x v="10"/>
    <x v="0"/>
    <x v="5"/>
    <n v="1410468"/>
    <n v="3247.4999999999991"/>
    <n v="264"/>
    <n v="5342.68"/>
    <x v="5"/>
  </r>
  <r>
    <x v="10"/>
    <x v="0"/>
    <x v="6"/>
    <n v="1303100"/>
    <n v="5927.0600000000022"/>
    <n v="295"/>
    <n v="4417.29"/>
    <x v="6"/>
  </r>
  <r>
    <x v="10"/>
    <x v="0"/>
    <x v="7"/>
    <n v="1154971"/>
    <n v="3444.3000000000011"/>
    <n v="275"/>
    <n v="4199.8900000000003"/>
    <x v="7"/>
  </r>
  <r>
    <x v="10"/>
    <x v="0"/>
    <x v="8"/>
    <n v="2794453"/>
    <n v="22027.139999999992"/>
    <n v="387"/>
    <n v="7220.81"/>
    <x v="8"/>
  </r>
  <r>
    <x v="10"/>
    <x v="0"/>
    <x v="9"/>
    <n v="1503965"/>
    <n v="3882.9600000000005"/>
    <n v="299"/>
    <n v="5029.9799999999996"/>
    <x v="9"/>
  </r>
  <r>
    <x v="10"/>
    <x v="0"/>
    <x v="10"/>
    <n v="2190271"/>
    <n v="13209.18"/>
    <n v="361"/>
    <n v="6067.23"/>
    <x v="10"/>
  </r>
  <r>
    <x v="10"/>
    <x v="1"/>
    <x v="0"/>
    <n v="2738365"/>
    <n v="43601.879999999954"/>
    <n v="402"/>
    <n v="6811.85"/>
    <x v="0"/>
  </r>
  <r>
    <x v="10"/>
    <x v="1"/>
    <x v="1"/>
    <n v="689207"/>
    <n v="2037.0500000000002"/>
    <n v="114"/>
    <n v="6045.68"/>
    <x v="1"/>
  </r>
  <r>
    <x v="11"/>
    <x v="0"/>
    <x v="0"/>
    <n v="868550"/>
    <n v="3971.9"/>
    <n v="190"/>
    <n v="4571.32"/>
    <x v="0"/>
  </r>
  <r>
    <x v="11"/>
    <x v="0"/>
    <x v="1"/>
    <n v="1905223"/>
    <n v="5339.0999999999995"/>
    <n v="343"/>
    <n v="5554.59"/>
    <x v="1"/>
  </r>
  <r>
    <x v="11"/>
    <x v="0"/>
    <x v="11"/>
    <n v="2354166"/>
    <n v="6697.3400000000074"/>
    <n v="457"/>
    <n v="5151.3500000000004"/>
    <x v="11"/>
  </r>
  <r>
    <x v="11"/>
    <x v="0"/>
    <x v="2"/>
    <n v="2684360"/>
    <n v="11027.080000000004"/>
    <n v="450"/>
    <n v="5965.24"/>
    <x v="2"/>
  </r>
  <r>
    <x v="11"/>
    <x v="0"/>
    <x v="3"/>
    <n v="2452005"/>
    <n v="9053.670000000011"/>
    <n v="516"/>
    <n v="4751.95"/>
    <x v="3"/>
  </r>
  <r>
    <x v="11"/>
    <x v="0"/>
    <x v="4"/>
    <n v="1668087"/>
    <n v="4191.9599999999991"/>
    <n v="295"/>
    <n v="5654.53"/>
    <x v="4"/>
  </r>
  <r>
    <x v="11"/>
    <x v="0"/>
    <x v="5"/>
    <n v="1440420"/>
    <n v="4460.239999999998"/>
    <n v="275"/>
    <n v="5237.8900000000003"/>
    <x v="5"/>
  </r>
  <r>
    <x v="11"/>
    <x v="0"/>
    <x v="6"/>
    <n v="1793020"/>
    <n v="4396.0899999999983"/>
    <n v="374"/>
    <n v="4794.17"/>
    <x v="6"/>
  </r>
  <r>
    <x v="11"/>
    <x v="0"/>
    <x v="7"/>
    <n v="1624852"/>
    <n v="3649.7900000000013"/>
    <n v="322"/>
    <n v="5046.12"/>
    <x v="7"/>
  </r>
  <r>
    <x v="11"/>
    <x v="0"/>
    <x v="8"/>
    <n v="2225058"/>
    <n v="9493.8200000000088"/>
    <n v="398"/>
    <n v="5590.6"/>
    <x v="8"/>
  </r>
  <r>
    <x v="11"/>
    <x v="0"/>
    <x v="9"/>
    <n v="1228540"/>
    <n v="2511.3999999999987"/>
    <n v="277"/>
    <n v="4435.16"/>
    <x v="9"/>
  </r>
  <r>
    <x v="11"/>
    <x v="0"/>
    <x v="10"/>
    <n v="2229975"/>
    <n v="5267.37"/>
    <n v="377"/>
    <n v="5915.05"/>
    <x v="10"/>
  </r>
  <r>
    <x v="11"/>
    <x v="1"/>
    <x v="0"/>
    <n v="3014445"/>
    <n v="20963.949999999993"/>
    <n v="444"/>
    <n v="6789.29"/>
    <x v="0"/>
  </r>
  <r>
    <x v="11"/>
    <x v="1"/>
    <x v="1"/>
    <n v="819728"/>
    <n v="1382.5500000000002"/>
    <n v="134"/>
    <n v="6117.37"/>
    <x v="1"/>
  </r>
  <r>
    <x v="12"/>
    <x v="0"/>
    <x v="0"/>
    <n v="1008620"/>
    <n v="3167.0899999999997"/>
    <n v="208"/>
    <n v="4849.13"/>
    <x v="0"/>
  </r>
  <r>
    <x v="12"/>
    <x v="0"/>
    <x v="1"/>
    <n v="978915"/>
    <n v="2556.7489999999984"/>
    <n v="254"/>
    <n v="3854"/>
    <x v="1"/>
  </r>
  <r>
    <x v="12"/>
    <x v="0"/>
    <x v="11"/>
    <n v="202420"/>
    <n v="499.06999999999988"/>
    <n v="52"/>
    <n v="3892.69"/>
    <x v="11"/>
  </r>
  <r>
    <x v="13"/>
    <x v="0"/>
    <x v="0"/>
    <n v="1380095"/>
    <n v="3267.8300000000013"/>
    <n v="316"/>
    <n v="4367.3900000000003"/>
    <x v="0"/>
  </r>
  <r>
    <x v="13"/>
    <x v="0"/>
    <x v="1"/>
    <n v="2341870"/>
    <n v="6827.7690000000093"/>
    <n v="493"/>
    <n v="4750.24"/>
    <x v="1"/>
  </r>
  <r>
    <x v="13"/>
    <x v="0"/>
    <x v="11"/>
    <n v="3165685"/>
    <n v="17606.850000000042"/>
    <n v="641"/>
    <n v="4938.67"/>
    <x v="11"/>
  </r>
  <r>
    <x v="13"/>
    <x v="0"/>
    <x v="2"/>
    <n v="3610485"/>
    <n v="9623.350000000004"/>
    <n v="605"/>
    <n v="5967.74"/>
    <x v="2"/>
  </r>
  <r>
    <x v="13"/>
    <x v="0"/>
    <x v="3"/>
    <n v="3802280"/>
    <n v="10020.650000000005"/>
    <n v="724"/>
    <n v="5251.77"/>
    <x v="3"/>
  </r>
  <r>
    <x v="13"/>
    <x v="0"/>
    <x v="4"/>
    <n v="2498220"/>
    <n v="6339.0299999999961"/>
    <n v="500"/>
    <n v="4996.4399999999996"/>
    <x v="4"/>
  </r>
  <r>
    <x v="13"/>
    <x v="0"/>
    <x v="5"/>
    <n v="1843320"/>
    <n v="6694.5200000000041"/>
    <n v="380"/>
    <n v="4850.84"/>
    <x v="5"/>
  </r>
  <r>
    <x v="13"/>
    <x v="0"/>
    <x v="6"/>
    <n v="1778245"/>
    <n v="4347.220000000003"/>
    <n v="382"/>
    <n v="4655.09"/>
    <x v="6"/>
  </r>
  <r>
    <x v="13"/>
    <x v="0"/>
    <x v="7"/>
    <n v="2398340"/>
    <n v="8357.2100000000028"/>
    <n v="406"/>
    <n v="5907.24"/>
    <x v="7"/>
  </r>
  <r>
    <x v="13"/>
    <x v="0"/>
    <x v="8"/>
    <n v="3729900"/>
    <n v="23377.519999999997"/>
    <n v="540"/>
    <n v="6907.22"/>
    <x v="8"/>
  </r>
  <r>
    <x v="13"/>
    <x v="0"/>
    <x v="9"/>
    <n v="2022695"/>
    <n v="6282.5599999999995"/>
    <n v="352"/>
    <n v="5746.29"/>
    <x v="9"/>
  </r>
  <r>
    <x v="13"/>
    <x v="0"/>
    <x v="10"/>
    <n v="2188330"/>
    <n v="8125.0500000000029"/>
    <n v="344"/>
    <n v="6361.42"/>
    <x v="10"/>
  </r>
  <r>
    <x v="13"/>
    <x v="1"/>
    <x v="0"/>
    <n v="5069155"/>
    <n v="69860.170000000013"/>
    <n v="513"/>
    <n v="9881.39"/>
    <x v="0"/>
  </r>
  <r>
    <x v="13"/>
    <x v="1"/>
    <x v="1"/>
    <n v="1520935"/>
    <n v="2571.5499999999979"/>
    <n v="215"/>
    <n v="7074.12"/>
    <x v="1"/>
  </r>
  <r>
    <x v="14"/>
    <x v="0"/>
    <x v="0"/>
    <n v="385235"/>
    <n v="959.23"/>
    <n v="88"/>
    <n v="4377.67"/>
    <x v="0"/>
  </r>
  <r>
    <x v="14"/>
    <x v="0"/>
    <x v="1"/>
    <n v="320782"/>
    <n v="865.28"/>
    <n v="104"/>
    <n v="3084.44"/>
    <x v="1"/>
  </r>
  <r>
    <x v="14"/>
    <x v="0"/>
    <x v="11"/>
    <n v="75290"/>
    <n v="205.83"/>
    <n v="23"/>
    <n v="3273.48"/>
    <x v="11"/>
  </r>
  <r>
    <x v="15"/>
    <x v="0"/>
    <x v="0"/>
    <n v="20421.169999999998"/>
    <n v="331.40000000000003"/>
    <n v="9"/>
    <n v="2269.02"/>
    <x v="0"/>
  </r>
  <r>
    <x v="15"/>
    <x v="0"/>
    <x v="1"/>
    <n v="264331.7"/>
    <n v="4989.3500000000067"/>
    <n v="55"/>
    <n v="4806.03"/>
    <x v="1"/>
  </r>
  <r>
    <x v="15"/>
    <x v="0"/>
    <x v="11"/>
    <n v="359000.29000000027"/>
    <n v="16985.349999999995"/>
    <n v="76"/>
    <n v="4723.6899999999996"/>
    <x v="11"/>
  </r>
  <r>
    <x v="15"/>
    <x v="0"/>
    <x v="2"/>
    <n v="705558.57999999938"/>
    <n v="18660.179999999997"/>
    <n v="106"/>
    <n v="6656.21"/>
    <x v="2"/>
  </r>
  <r>
    <x v="15"/>
    <x v="0"/>
    <x v="3"/>
    <n v="366364.6999999999"/>
    <n v="8350.7099999999973"/>
    <n v="59"/>
    <n v="6209.57"/>
    <x v="3"/>
  </r>
  <r>
    <x v="15"/>
    <x v="0"/>
    <x v="4"/>
    <n v="199906.51000000004"/>
    <n v="3336.3499999999985"/>
    <n v="52"/>
    <n v="3844.36"/>
    <x v="4"/>
  </r>
  <r>
    <x v="15"/>
    <x v="0"/>
    <x v="5"/>
    <n v="266577.81000000011"/>
    <n v="3535.18"/>
    <n v="47"/>
    <n v="5671.87"/>
    <x v="5"/>
  </r>
  <r>
    <x v="15"/>
    <x v="0"/>
    <x v="6"/>
    <n v="281263.91999999987"/>
    <n v="2911.8199999999997"/>
    <n v="37"/>
    <n v="7601.73"/>
    <x v="6"/>
  </r>
  <r>
    <x v="15"/>
    <x v="0"/>
    <x v="7"/>
    <n v="283844.36999999994"/>
    <n v="4359.8500000000004"/>
    <n v="31"/>
    <n v="9156.27"/>
    <x v="7"/>
  </r>
  <r>
    <x v="15"/>
    <x v="0"/>
    <x v="8"/>
    <n v="1318817.3499999996"/>
    <n v="55887.619999999981"/>
    <n v="120"/>
    <n v="10990.14"/>
    <x v="8"/>
  </r>
  <r>
    <x v="15"/>
    <x v="0"/>
    <x v="9"/>
    <n v="214139.21"/>
    <n v="515.87"/>
    <n v="32"/>
    <n v="6691.85"/>
    <x v="9"/>
  </r>
  <r>
    <x v="15"/>
    <x v="0"/>
    <x v="10"/>
    <n v="227372.79"/>
    <n v="11017.060000000001"/>
    <n v="60"/>
    <n v="3789.55"/>
    <x v="10"/>
  </r>
  <r>
    <x v="15"/>
    <x v="1"/>
    <x v="0"/>
    <n v="7490332.9800000004"/>
    <n v="543238.50999999989"/>
    <n v="207"/>
    <n v="36185.18"/>
    <x v="0"/>
  </r>
  <r>
    <x v="15"/>
    <x v="1"/>
    <x v="1"/>
    <n v="3224276.439999999"/>
    <n v="99077.050000000032"/>
    <n v="105"/>
    <n v="30707.39"/>
    <x v="1"/>
  </r>
  <r>
    <x v="16"/>
    <x v="0"/>
    <x v="0"/>
    <n v="865905"/>
    <n v="1648.1399999999992"/>
    <n v="228"/>
    <n v="3797.83"/>
    <x v="0"/>
  </r>
  <r>
    <x v="16"/>
    <x v="0"/>
    <x v="1"/>
    <n v="1508399"/>
    <n v="4351.3599999999988"/>
    <n v="326"/>
    <n v="4626.99"/>
    <x v="1"/>
  </r>
  <r>
    <x v="16"/>
    <x v="0"/>
    <x v="11"/>
    <n v="2437358"/>
    <n v="6683.4000000000033"/>
    <n v="424"/>
    <n v="5748.49"/>
    <x v="11"/>
  </r>
  <r>
    <x v="16"/>
    <x v="0"/>
    <x v="2"/>
    <n v="2834058"/>
    <n v="12388.739999999989"/>
    <n v="450"/>
    <n v="6297.91"/>
    <x v="2"/>
  </r>
  <r>
    <x v="16"/>
    <x v="0"/>
    <x v="3"/>
    <n v="3126763"/>
    <n v="8054.8700000000081"/>
    <n v="520"/>
    <n v="6013.01"/>
    <x v="3"/>
  </r>
  <r>
    <x v="16"/>
    <x v="0"/>
    <x v="4"/>
    <n v="2119346"/>
    <n v="6304.5200000000023"/>
    <n v="341"/>
    <n v="6215.09"/>
    <x v="4"/>
  </r>
  <r>
    <x v="16"/>
    <x v="0"/>
    <x v="5"/>
    <n v="1475297"/>
    <n v="3877.9599999999987"/>
    <n v="289"/>
    <n v="5104.83"/>
    <x v="5"/>
  </r>
  <r>
    <x v="16"/>
    <x v="0"/>
    <x v="6"/>
    <n v="1388511"/>
    <n v="3414.5499999999984"/>
    <n v="258"/>
    <n v="5381.83"/>
    <x v="6"/>
  </r>
  <r>
    <x v="16"/>
    <x v="0"/>
    <x v="7"/>
    <n v="2860385"/>
    <n v="6522.0499999999965"/>
    <n v="324"/>
    <n v="8828.35"/>
    <x v="7"/>
  </r>
  <r>
    <x v="16"/>
    <x v="0"/>
    <x v="8"/>
    <n v="2793779.5"/>
    <n v="44127.659999999989"/>
    <n v="402"/>
    <n v="6949.7"/>
    <x v="8"/>
  </r>
  <r>
    <x v="16"/>
    <x v="0"/>
    <x v="9"/>
    <n v="1253686.05"/>
    <n v="2527.2899999999995"/>
    <n v="239"/>
    <n v="5245.55"/>
    <x v="9"/>
  </r>
  <r>
    <x v="16"/>
    <x v="0"/>
    <x v="10"/>
    <n v="1641887"/>
    <n v="5116.6299999999992"/>
    <n v="288"/>
    <n v="5701"/>
    <x v="10"/>
  </r>
  <r>
    <x v="16"/>
    <x v="1"/>
    <x v="0"/>
    <n v="2633056"/>
    <n v="32723.189999999981"/>
    <n v="370"/>
    <n v="7116.37"/>
    <x v="0"/>
  </r>
  <r>
    <x v="16"/>
    <x v="1"/>
    <x v="1"/>
    <n v="1140334"/>
    <n v="3087.12"/>
    <n v="117"/>
    <n v="9746.44"/>
    <x v="1"/>
  </r>
  <r>
    <x v="17"/>
    <x v="1"/>
    <x v="0"/>
    <n v="196800"/>
    <n v="14000"/>
    <n v="5"/>
    <n v="3936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4A78E3-21ED-48A1-ADA2-3CF95C6C566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T17" firstHeaderRow="1" firstDataRow="2" firstDataCol="1"/>
  <pivotFields count="8">
    <pivotField axis="axisCol" showAll="0">
      <items count="19">
        <item x="0"/>
        <item x="1"/>
        <item x="2"/>
        <item x="3"/>
        <item x="4"/>
        <item x="5"/>
        <item x="6"/>
        <item x="7"/>
        <item x="8"/>
        <item x="9"/>
        <item x="10"/>
        <item x="11"/>
        <item x="12"/>
        <item x="13"/>
        <item x="14"/>
        <item x="15"/>
        <item x="16"/>
        <item x="17"/>
        <item t="default"/>
      </items>
    </pivotField>
    <pivotField showAll="0">
      <items count="3">
        <item x="0"/>
        <item x="1"/>
        <item t="default"/>
      </items>
    </pivotField>
    <pivotField showAll="0">
      <items count="13">
        <item x="0"/>
        <item x="1"/>
        <item x="11"/>
        <item x="2"/>
        <item x="3"/>
        <item x="4"/>
        <item x="5"/>
        <item x="6"/>
        <item x="7"/>
        <item x="8"/>
        <item x="9"/>
        <item x="10"/>
        <item t="default"/>
      </items>
    </pivotField>
    <pivotField dataField="1" showAll="0"/>
    <pivotField showAll="0"/>
    <pivotField showAll="0"/>
    <pivotField showAll="0"/>
    <pivotField axis="axisRow" showAll="0">
      <items count="13">
        <item x="0"/>
        <item x="1"/>
        <item x="11"/>
        <item x="2"/>
        <item x="3"/>
        <item x="4"/>
        <item x="5"/>
        <item x="6"/>
        <item x="7"/>
        <item x="8"/>
        <item x="9"/>
        <item x="10"/>
        <item t="default"/>
      </items>
    </pivotField>
  </pivotFields>
  <rowFields count="1">
    <field x="7"/>
  </rowFields>
  <rowItems count="13">
    <i>
      <x/>
    </i>
    <i>
      <x v="1"/>
    </i>
    <i>
      <x v="2"/>
    </i>
    <i>
      <x v="3"/>
    </i>
    <i>
      <x v="4"/>
    </i>
    <i>
      <x v="5"/>
    </i>
    <i>
      <x v="6"/>
    </i>
    <i>
      <x v="7"/>
    </i>
    <i>
      <x v="8"/>
    </i>
    <i>
      <x v="9"/>
    </i>
    <i>
      <x v="10"/>
    </i>
    <i>
      <x v="11"/>
    </i>
    <i t="grand">
      <x/>
    </i>
  </rowItems>
  <colFields count="1">
    <field x="0"/>
  </colFields>
  <colItems count="19">
    <i>
      <x/>
    </i>
    <i>
      <x v="1"/>
    </i>
    <i>
      <x v="2"/>
    </i>
    <i>
      <x v="3"/>
    </i>
    <i>
      <x v="4"/>
    </i>
    <i>
      <x v="5"/>
    </i>
    <i>
      <x v="6"/>
    </i>
    <i>
      <x v="7"/>
    </i>
    <i>
      <x v="8"/>
    </i>
    <i>
      <x v="9"/>
    </i>
    <i>
      <x v="10"/>
    </i>
    <i>
      <x v="11"/>
    </i>
    <i>
      <x v="12"/>
    </i>
    <i>
      <x v="13"/>
    </i>
    <i>
      <x v="14"/>
    </i>
    <i>
      <x v="15"/>
    </i>
    <i>
      <x v="16"/>
    </i>
    <i>
      <x v="17"/>
    </i>
    <i t="grand">
      <x/>
    </i>
  </colItems>
  <dataFields count="1">
    <dataField name="Sum of revenue" fld="3" baseField="0" baseItem="0"/>
  </dataFields>
  <chartFormats count="36">
    <chartFormat chart="2" format="36" series="1">
      <pivotArea type="data" outline="0" fieldPosition="0">
        <references count="2">
          <reference field="4294967294" count="1" selected="0">
            <x v="0"/>
          </reference>
          <reference field="0" count="1" selected="0">
            <x v="0"/>
          </reference>
        </references>
      </pivotArea>
    </chartFormat>
    <chartFormat chart="2" format="37" series="1">
      <pivotArea type="data" outline="0" fieldPosition="0">
        <references count="2">
          <reference field="4294967294" count="1" selected="0">
            <x v="0"/>
          </reference>
          <reference field="0" count="1" selected="0">
            <x v="1"/>
          </reference>
        </references>
      </pivotArea>
    </chartFormat>
    <chartFormat chart="2" format="38" series="1">
      <pivotArea type="data" outline="0" fieldPosition="0">
        <references count="2">
          <reference field="4294967294" count="1" selected="0">
            <x v="0"/>
          </reference>
          <reference field="0" count="1" selected="0">
            <x v="2"/>
          </reference>
        </references>
      </pivotArea>
    </chartFormat>
    <chartFormat chart="2" format="39" series="1">
      <pivotArea type="data" outline="0" fieldPosition="0">
        <references count="2">
          <reference field="4294967294" count="1" selected="0">
            <x v="0"/>
          </reference>
          <reference field="0" count="1" selected="0">
            <x v="3"/>
          </reference>
        </references>
      </pivotArea>
    </chartFormat>
    <chartFormat chart="2" format="40" series="1">
      <pivotArea type="data" outline="0" fieldPosition="0">
        <references count="2">
          <reference field="4294967294" count="1" selected="0">
            <x v="0"/>
          </reference>
          <reference field="0" count="1" selected="0">
            <x v="4"/>
          </reference>
        </references>
      </pivotArea>
    </chartFormat>
    <chartFormat chart="2" format="41" series="1">
      <pivotArea type="data" outline="0" fieldPosition="0">
        <references count="2">
          <reference field="4294967294" count="1" selected="0">
            <x v="0"/>
          </reference>
          <reference field="0" count="1" selected="0">
            <x v="5"/>
          </reference>
        </references>
      </pivotArea>
    </chartFormat>
    <chartFormat chart="2" format="42" series="1">
      <pivotArea type="data" outline="0" fieldPosition="0">
        <references count="2">
          <reference field="4294967294" count="1" selected="0">
            <x v="0"/>
          </reference>
          <reference field="0" count="1" selected="0">
            <x v="6"/>
          </reference>
        </references>
      </pivotArea>
    </chartFormat>
    <chartFormat chart="2" format="43" series="1">
      <pivotArea type="data" outline="0" fieldPosition="0">
        <references count="2">
          <reference field="4294967294" count="1" selected="0">
            <x v="0"/>
          </reference>
          <reference field="0" count="1" selected="0">
            <x v="7"/>
          </reference>
        </references>
      </pivotArea>
    </chartFormat>
    <chartFormat chart="2" format="44" series="1">
      <pivotArea type="data" outline="0" fieldPosition="0">
        <references count="2">
          <reference field="4294967294" count="1" selected="0">
            <x v="0"/>
          </reference>
          <reference field="0" count="1" selected="0">
            <x v="8"/>
          </reference>
        </references>
      </pivotArea>
    </chartFormat>
    <chartFormat chart="2" format="45" series="1">
      <pivotArea type="data" outline="0" fieldPosition="0">
        <references count="2">
          <reference field="4294967294" count="1" selected="0">
            <x v="0"/>
          </reference>
          <reference field="0" count="1" selected="0">
            <x v="9"/>
          </reference>
        </references>
      </pivotArea>
    </chartFormat>
    <chartFormat chart="2" format="46" series="1">
      <pivotArea type="data" outline="0" fieldPosition="0">
        <references count="2">
          <reference field="4294967294" count="1" selected="0">
            <x v="0"/>
          </reference>
          <reference field="0" count="1" selected="0">
            <x v="10"/>
          </reference>
        </references>
      </pivotArea>
    </chartFormat>
    <chartFormat chart="2" format="47" series="1">
      <pivotArea type="data" outline="0" fieldPosition="0">
        <references count="2">
          <reference field="4294967294" count="1" selected="0">
            <x v="0"/>
          </reference>
          <reference field="0" count="1" selected="0">
            <x v="11"/>
          </reference>
        </references>
      </pivotArea>
    </chartFormat>
    <chartFormat chart="2" format="48" series="1">
      <pivotArea type="data" outline="0" fieldPosition="0">
        <references count="2">
          <reference field="4294967294" count="1" selected="0">
            <x v="0"/>
          </reference>
          <reference field="0" count="1" selected="0">
            <x v="12"/>
          </reference>
        </references>
      </pivotArea>
    </chartFormat>
    <chartFormat chart="2" format="49" series="1">
      <pivotArea type="data" outline="0" fieldPosition="0">
        <references count="2">
          <reference field="4294967294" count="1" selected="0">
            <x v="0"/>
          </reference>
          <reference field="0" count="1" selected="0">
            <x v="13"/>
          </reference>
        </references>
      </pivotArea>
    </chartFormat>
    <chartFormat chart="2" format="50" series="1">
      <pivotArea type="data" outline="0" fieldPosition="0">
        <references count="2">
          <reference field="4294967294" count="1" selected="0">
            <x v="0"/>
          </reference>
          <reference field="0" count="1" selected="0">
            <x v="14"/>
          </reference>
        </references>
      </pivotArea>
    </chartFormat>
    <chartFormat chart="2" format="51" series="1">
      <pivotArea type="data" outline="0" fieldPosition="0">
        <references count="2">
          <reference field="4294967294" count="1" selected="0">
            <x v="0"/>
          </reference>
          <reference field="0" count="1" selected="0">
            <x v="15"/>
          </reference>
        </references>
      </pivotArea>
    </chartFormat>
    <chartFormat chart="2" format="52" series="1">
      <pivotArea type="data" outline="0" fieldPosition="0">
        <references count="2">
          <reference field="4294967294" count="1" selected="0">
            <x v="0"/>
          </reference>
          <reference field="0" count="1" selected="0">
            <x v="16"/>
          </reference>
        </references>
      </pivotArea>
    </chartFormat>
    <chartFormat chart="2" format="53" series="1">
      <pivotArea type="data" outline="0" fieldPosition="0">
        <references count="2">
          <reference field="4294967294" count="1" selected="0">
            <x v="0"/>
          </reference>
          <reference field="0" count="1" selected="0">
            <x v="17"/>
          </reference>
        </references>
      </pivotArea>
    </chartFormat>
    <chartFormat chart="4" format="72" series="1">
      <pivotArea type="data" outline="0" fieldPosition="0">
        <references count="2">
          <reference field="4294967294" count="1" selected="0">
            <x v="0"/>
          </reference>
          <reference field="0" count="1" selected="0">
            <x v="0"/>
          </reference>
        </references>
      </pivotArea>
    </chartFormat>
    <chartFormat chart="4" format="73" series="1">
      <pivotArea type="data" outline="0" fieldPosition="0">
        <references count="2">
          <reference field="4294967294" count="1" selected="0">
            <x v="0"/>
          </reference>
          <reference field="0" count="1" selected="0">
            <x v="1"/>
          </reference>
        </references>
      </pivotArea>
    </chartFormat>
    <chartFormat chart="4" format="74" series="1">
      <pivotArea type="data" outline="0" fieldPosition="0">
        <references count="2">
          <reference field="4294967294" count="1" selected="0">
            <x v="0"/>
          </reference>
          <reference field="0" count="1" selected="0">
            <x v="2"/>
          </reference>
        </references>
      </pivotArea>
    </chartFormat>
    <chartFormat chart="4" format="75" series="1">
      <pivotArea type="data" outline="0" fieldPosition="0">
        <references count="2">
          <reference field="4294967294" count="1" selected="0">
            <x v="0"/>
          </reference>
          <reference field="0" count="1" selected="0">
            <x v="3"/>
          </reference>
        </references>
      </pivotArea>
    </chartFormat>
    <chartFormat chart="4" format="76" series="1">
      <pivotArea type="data" outline="0" fieldPosition="0">
        <references count="2">
          <reference field="4294967294" count="1" selected="0">
            <x v="0"/>
          </reference>
          <reference field="0" count="1" selected="0">
            <x v="4"/>
          </reference>
        </references>
      </pivotArea>
    </chartFormat>
    <chartFormat chart="4" format="77" series="1">
      <pivotArea type="data" outline="0" fieldPosition="0">
        <references count="2">
          <reference field="4294967294" count="1" selected="0">
            <x v="0"/>
          </reference>
          <reference field="0" count="1" selected="0">
            <x v="5"/>
          </reference>
        </references>
      </pivotArea>
    </chartFormat>
    <chartFormat chart="4" format="78" series="1">
      <pivotArea type="data" outline="0" fieldPosition="0">
        <references count="2">
          <reference field="4294967294" count="1" selected="0">
            <x v="0"/>
          </reference>
          <reference field="0" count="1" selected="0">
            <x v="6"/>
          </reference>
        </references>
      </pivotArea>
    </chartFormat>
    <chartFormat chart="4" format="79" series="1">
      <pivotArea type="data" outline="0" fieldPosition="0">
        <references count="2">
          <reference field="4294967294" count="1" selected="0">
            <x v="0"/>
          </reference>
          <reference field="0" count="1" selected="0">
            <x v="7"/>
          </reference>
        </references>
      </pivotArea>
    </chartFormat>
    <chartFormat chart="4" format="80" series="1">
      <pivotArea type="data" outline="0" fieldPosition="0">
        <references count="2">
          <reference field="4294967294" count="1" selected="0">
            <x v="0"/>
          </reference>
          <reference field="0" count="1" selected="0">
            <x v="8"/>
          </reference>
        </references>
      </pivotArea>
    </chartFormat>
    <chartFormat chart="4" format="81" series="1">
      <pivotArea type="data" outline="0" fieldPosition="0">
        <references count="2">
          <reference field="4294967294" count="1" selected="0">
            <x v="0"/>
          </reference>
          <reference field="0" count="1" selected="0">
            <x v="9"/>
          </reference>
        </references>
      </pivotArea>
    </chartFormat>
    <chartFormat chart="4" format="82" series="1">
      <pivotArea type="data" outline="0" fieldPosition="0">
        <references count="2">
          <reference field="4294967294" count="1" selected="0">
            <x v="0"/>
          </reference>
          <reference field="0" count="1" selected="0">
            <x v="10"/>
          </reference>
        </references>
      </pivotArea>
    </chartFormat>
    <chartFormat chart="4" format="83" series="1">
      <pivotArea type="data" outline="0" fieldPosition="0">
        <references count="2">
          <reference field="4294967294" count="1" selected="0">
            <x v="0"/>
          </reference>
          <reference field="0" count="1" selected="0">
            <x v="11"/>
          </reference>
        </references>
      </pivotArea>
    </chartFormat>
    <chartFormat chart="4" format="84" series="1">
      <pivotArea type="data" outline="0" fieldPosition="0">
        <references count="2">
          <reference field="4294967294" count="1" selected="0">
            <x v="0"/>
          </reference>
          <reference field="0" count="1" selected="0">
            <x v="12"/>
          </reference>
        </references>
      </pivotArea>
    </chartFormat>
    <chartFormat chart="4" format="85" series="1">
      <pivotArea type="data" outline="0" fieldPosition="0">
        <references count="2">
          <reference field="4294967294" count="1" selected="0">
            <x v="0"/>
          </reference>
          <reference field="0" count="1" selected="0">
            <x v="13"/>
          </reference>
        </references>
      </pivotArea>
    </chartFormat>
    <chartFormat chart="4" format="86" series="1">
      <pivotArea type="data" outline="0" fieldPosition="0">
        <references count="2">
          <reference field="4294967294" count="1" selected="0">
            <x v="0"/>
          </reference>
          <reference field="0" count="1" selected="0">
            <x v="14"/>
          </reference>
        </references>
      </pivotArea>
    </chartFormat>
    <chartFormat chart="4" format="87" series="1">
      <pivotArea type="data" outline="0" fieldPosition="0">
        <references count="2">
          <reference field="4294967294" count="1" selected="0">
            <x v="0"/>
          </reference>
          <reference field="0" count="1" selected="0">
            <x v="15"/>
          </reference>
        </references>
      </pivotArea>
    </chartFormat>
    <chartFormat chart="4" format="88" series="1">
      <pivotArea type="data" outline="0" fieldPosition="0">
        <references count="2">
          <reference field="4294967294" count="1" selected="0">
            <x v="0"/>
          </reference>
          <reference field="0" count="1" selected="0">
            <x v="16"/>
          </reference>
        </references>
      </pivotArea>
    </chartFormat>
    <chartFormat chart="4" format="89" series="1">
      <pivotArea type="data" outline="0" fieldPosition="0">
        <references count="2">
          <reference field="4294967294" count="1" selected="0">
            <x v="0"/>
          </reference>
          <reference field="0"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BC0E3A-87E1-4938-97F5-763199C03808}" name="PivotTable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11">
  <location ref="A3:BI17" firstHeaderRow="1" firstDataRow="4" firstDataCol="1"/>
  <pivotFields count="8">
    <pivotField axis="axisRow" compact="0" outline="0" showAll="0" measureFilter="1" sortType="descending" defaultSubtotal="0">
      <items count="18">
        <item x="17"/>
        <item x="16"/>
        <item x="15"/>
        <item x="14"/>
        <item x="13"/>
        <item x="12"/>
        <item x="11"/>
        <item x="10"/>
        <item x="9"/>
        <item x="8"/>
        <item x="7"/>
        <item x="6"/>
        <item x="5"/>
        <item x="4"/>
        <item x="3"/>
        <item x="2"/>
        <item x="1"/>
        <item x="0"/>
      </items>
    </pivotField>
    <pivotField axis="axisCol" compact="0" outline="0" showAll="0" defaultSubtotal="0">
      <items count="2">
        <item x="0"/>
        <item x="1"/>
      </items>
    </pivotField>
    <pivotField compact="0" outline="0" showAll="0" defaultSubtotal="0">
      <items count="12">
        <item x="0"/>
        <item x="1"/>
        <item x="11"/>
        <item x="2"/>
        <item x="3"/>
        <item x="4"/>
        <item x="5"/>
        <item x="6"/>
        <item x="7"/>
        <item x="8"/>
        <item x="9"/>
        <item x="10"/>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axis="axisCol" compact="0" outline="0" subtotalTop="0" showAll="0" defaultSubtotal="0">
      <items count="12">
        <item x="0"/>
        <item x="1"/>
        <item x="11"/>
        <item x="2"/>
        <item x="3"/>
        <item x="4"/>
        <item x="5"/>
        <item x="6"/>
        <item x="7"/>
        <item x="8"/>
        <item x="9"/>
        <item x="10"/>
      </items>
    </pivotField>
  </pivotFields>
  <rowFields count="1">
    <field x="0"/>
  </rowFields>
  <rowItems count="11">
    <i>
      <x v="1"/>
    </i>
    <i>
      <x v="4"/>
    </i>
    <i>
      <x v="6"/>
    </i>
    <i>
      <x v="7"/>
    </i>
    <i>
      <x v="9"/>
    </i>
    <i>
      <x v="10"/>
    </i>
    <i>
      <x v="11"/>
    </i>
    <i>
      <x v="13"/>
    </i>
    <i>
      <x v="16"/>
    </i>
    <i>
      <x v="17"/>
    </i>
    <i t="grand">
      <x/>
    </i>
  </rowItems>
  <colFields count="3">
    <field x="7"/>
    <field x="1"/>
    <field x="-2"/>
  </colFields>
  <colItems count="60">
    <i>
      <x/>
      <x/>
      <x/>
    </i>
    <i r="2" i="1">
      <x v="1"/>
    </i>
    <i r="2" i="2">
      <x v="2"/>
    </i>
    <i r="2" i="3">
      <x v="3"/>
    </i>
    <i r="1">
      <x v="1"/>
      <x/>
    </i>
    <i r="2" i="1">
      <x v="1"/>
    </i>
    <i r="2" i="2">
      <x v="2"/>
    </i>
    <i r="2" i="3">
      <x v="3"/>
    </i>
    <i>
      <x v="1"/>
      <x/>
      <x/>
    </i>
    <i r="2" i="1">
      <x v="1"/>
    </i>
    <i r="2" i="2">
      <x v="2"/>
    </i>
    <i r="2" i="3">
      <x v="3"/>
    </i>
    <i r="1">
      <x v="1"/>
      <x/>
    </i>
    <i r="2" i="1">
      <x v="1"/>
    </i>
    <i r="2" i="2">
      <x v="2"/>
    </i>
    <i r="2" i="3">
      <x v="3"/>
    </i>
    <i>
      <x v="2"/>
      <x/>
      <x/>
    </i>
    <i r="2" i="1">
      <x v="1"/>
    </i>
    <i r="2" i="2">
      <x v="2"/>
    </i>
    <i r="2" i="3">
      <x v="3"/>
    </i>
    <i>
      <x v="3"/>
      <x/>
      <x/>
    </i>
    <i r="2" i="1">
      <x v="1"/>
    </i>
    <i r="2" i="2">
      <x v="2"/>
    </i>
    <i r="2" i="3">
      <x v="3"/>
    </i>
    <i>
      <x v="4"/>
      <x/>
      <x/>
    </i>
    <i r="2" i="1">
      <x v="1"/>
    </i>
    <i r="2" i="2">
      <x v="2"/>
    </i>
    <i r="2" i="3">
      <x v="3"/>
    </i>
    <i>
      <x v="5"/>
      <x/>
      <x/>
    </i>
    <i r="2" i="1">
      <x v="1"/>
    </i>
    <i r="2" i="2">
      <x v="2"/>
    </i>
    <i r="2" i="3">
      <x v="3"/>
    </i>
    <i>
      <x v="6"/>
      <x/>
      <x/>
    </i>
    <i r="2" i="1">
      <x v="1"/>
    </i>
    <i r="2" i="2">
      <x v="2"/>
    </i>
    <i r="2" i="3">
      <x v="3"/>
    </i>
    <i>
      <x v="7"/>
      <x/>
      <x/>
    </i>
    <i r="2" i="1">
      <x v="1"/>
    </i>
    <i r="2" i="2">
      <x v="2"/>
    </i>
    <i r="2" i="3">
      <x v="3"/>
    </i>
    <i>
      <x v="8"/>
      <x/>
      <x/>
    </i>
    <i r="2" i="1">
      <x v="1"/>
    </i>
    <i r="2" i="2">
      <x v="2"/>
    </i>
    <i r="2" i="3">
      <x v="3"/>
    </i>
    <i>
      <x v="9"/>
      <x/>
      <x/>
    </i>
    <i r="2" i="1">
      <x v="1"/>
    </i>
    <i r="2" i="2">
      <x v="2"/>
    </i>
    <i r="2" i="3">
      <x v="3"/>
    </i>
    <i>
      <x v="10"/>
      <x/>
      <x/>
    </i>
    <i r="2" i="1">
      <x v="1"/>
    </i>
    <i r="2" i="2">
      <x v="2"/>
    </i>
    <i r="2" i="3">
      <x v="3"/>
    </i>
    <i>
      <x v="11"/>
      <x/>
      <x/>
    </i>
    <i r="2" i="1">
      <x v="1"/>
    </i>
    <i r="2" i="2">
      <x v="2"/>
    </i>
    <i r="2" i="3">
      <x v="3"/>
    </i>
    <i t="grand">
      <x/>
    </i>
    <i t="grand" i="1">
      <x/>
    </i>
    <i t="grand" i="2">
      <x/>
    </i>
    <i t="grand" i="3">
      <x/>
    </i>
  </colItems>
  <dataFields count="4">
    <dataField name="Revenue (SAR)" fld="3" baseField="0" baseItem="0"/>
    <dataField name="Weight Sold (g)" fld="4" baseField="0" baseItem="0"/>
    <dataField name="Transactions" fld="5" baseField="0" baseItem="0"/>
    <dataField name="Avg Transaction Value" fld="6" baseField="0" baseItem="0"/>
  </dataFields>
  <formats count="3">
    <format dxfId="2">
      <pivotArea dataOnly="0" outline="0" fieldPosition="0">
        <references count="1">
          <reference field="4294967294" count="1">
            <x v="1"/>
          </reference>
        </references>
      </pivotArea>
    </format>
    <format dxfId="1">
      <pivotArea dataOnly="0" outline="0" fieldPosition="0">
        <references count="1">
          <reference field="4294967294" count="1">
            <x v="3"/>
          </reference>
        </references>
      </pivotArea>
    </format>
    <format dxfId="0">
      <pivotArea dataOnly="0" outline="0" fieldPosition="0">
        <references count="1">
          <reference field="4294967294" count="1">
            <x v="0"/>
          </reference>
        </references>
      </pivotArea>
    </format>
  </formats>
  <conditionalFormats count="2">
    <conditionalFormat priority="1">
      <pivotAreas count="1">
        <pivotArea outline="0" fieldPosition="0">
          <references count="1">
            <reference field="4294967294" count="1">
              <x v="3"/>
            </reference>
          </references>
        </pivotArea>
      </pivotAreas>
    </conditionalFormat>
    <conditionalFormat priority="2">
      <pivotAreas count="1">
        <pivotArea outline="0" fieldPosition="0">
          <references count="1">
            <reference field="4294967294" count="1">
              <x v="0"/>
            </reference>
          </references>
        </pivotArea>
      </pivotAreas>
    </conditionalFormat>
  </conditionalFormats>
  <chartFormats count="112">
    <chartFormat chart="2" format="112" series="1">
      <pivotArea type="data" outline="0" fieldPosition="0">
        <references count="3">
          <reference field="4294967294" count="1" selected="0">
            <x v="0"/>
          </reference>
          <reference field="1" count="1" selected="0">
            <x v="0"/>
          </reference>
          <reference field="7" count="1" selected="0">
            <x v="0"/>
          </reference>
        </references>
      </pivotArea>
    </chartFormat>
    <chartFormat chart="2" format="113" series="1">
      <pivotArea type="data" outline="0" fieldPosition="0">
        <references count="3">
          <reference field="4294967294" count="1" selected="0">
            <x v="1"/>
          </reference>
          <reference field="1" count="1" selected="0">
            <x v="0"/>
          </reference>
          <reference field="7" count="1" selected="0">
            <x v="0"/>
          </reference>
        </references>
      </pivotArea>
    </chartFormat>
    <chartFormat chart="2" format="114" series="1">
      <pivotArea type="data" outline="0" fieldPosition="0">
        <references count="3">
          <reference field="4294967294" count="1" selected="0">
            <x v="2"/>
          </reference>
          <reference field="1" count="1" selected="0">
            <x v="0"/>
          </reference>
          <reference field="7" count="1" selected="0">
            <x v="0"/>
          </reference>
        </references>
      </pivotArea>
    </chartFormat>
    <chartFormat chart="2" format="115" series="1">
      <pivotArea type="data" outline="0" fieldPosition="0">
        <references count="3">
          <reference field="4294967294" count="1" selected="0">
            <x v="3"/>
          </reference>
          <reference field="1" count="1" selected="0">
            <x v="0"/>
          </reference>
          <reference field="7" count="1" selected="0">
            <x v="0"/>
          </reference>
        </references>
      </pivotArea>
    </chartFormat>
    <chartFormat chart="2" format="116" series="1">
      <pivotArea type="data" outline="0" fieldPosition="0">
        <references count="3">
          <reference field="4294967294" count="1" selected="0">
            <x v="0"/>
          </reference>
          <reference field="1" count="1" selected="0">
            <x v="1"/>
          </reference>
          <reference field="7" count="1" selected="0">
            <x v="0"/>
          </reference>
        </references>
      </pivotArea>
    </chartFormat>
    <chartFormat chart="2" format="117" series="1">
      <pivotArea type="data" outline="0" fieldPosition="0">
        <references count="3">
          <reference field="4294967294" count="1" selected="0">
            <x v="1"/>
          </reference>
          <reference field="1" count="1" selected="0">
            <x v="1"/>
          </reference>
          <reference field="7" count="1" selected="0">
            <x v="0"/>
          </reference>
        </references>
      </pivotArea>
    </chartFormat>
    <chartFormat chart="2" format="118" series="1">
      <pivotArea type="data" outline="0" fieldPosition="0">
        <references count="3">
          <reference field="4294967294" count="1" selected="0">
            <x v="2"/>
          </reference>
          <reference field="1" count="1" selected="0">
            <x v="1"/>
          </reference>
          <reference field="7" count="1" selected="0">
            <x v="0"/>
          </reference>
        </references>
      </pivotArea>
    </chartFormat>
    <chartFormat chart="2" format="119" series="1">
      <pivotArea type="data" outline="0" fieldPosition="0">
        <references count="3">
          <reference field="4294967294" count="1" selected="0">
            <x v="3"/>
          </reference>
          <reference field="1" count="1" selected="0">
            <x v="1"/>
          </reference>
          <reference field="7" count="1" selected="0">
            <x v="0"/>
          </reference>
        </references>
      </pivotArea>
    </chartFormat>
    <chartFormat chart="2" format="120" series="1">
      <pivotArea type="data" outline="0" fieldPosition="0">
        <references count="3">
          <reference field="4294967294" count="1" selected="0">
            <x v="0"/>
          </reference>
          <reference field="1" count="1" selected="0">
            <x v="0"/>
          </reference>
          <reference field="7" count="1" selected="0">
            <x v="1"/>
          </reference>
        </references>
      </pivotArea>
    </chartFormat>
    <chartFormat chart="2" format="121" series="1">
      <pivotArea type="data" outline="0" fieldPosition="0">
        <references count="3">
          <reference field="4294967294" count="1" selected="0">
            <x v="1"/>
          </reference>
          <reference field="1" count="1" selected="0">
            <x v="0"/>
          </reference>
          <reference field="7" count="1" selected="0">
            <x v="1"/>
          </reference>
        </references>
      </pivotArea>
    </chartFormat>
    <chartFormat chart="2" format="122" series="1">
      <pivotArea type="data" outline="0" fieldPosition="0">
        <references count="3">
          <reference field="4294967294" count="1" selected="0">
            <x v="2"/>
          </reference>
          <reference field="1" count="1" selected="0">
            <x v="0"/>
          </reference>
          <reference field="7" count="1" selected="0">
            <x v="1"/>
          </reference>
        </references>
      </pivotArea>
    </chartFormat>
    <chartFormat chart="2" format="123" series="1">
      <pivotArea type="data" outline="0" fieldPosition="0">
        <references count="3">
          <reference field="4294967294" count="1" selected="0">
            <x v="3"/>
          </reference>
          <reference field="1" count="1" selected="0">
            <x v="0"/>
          </reference>
          <reference field="7" count="1" selected="0">
            <x v="1"/>
          </reference>
        </references>
      </pivotArea>
    </chartFormat>
    <chartFormat chart="2" format="124" series="1">
      <pivotArea type="data" outline="0" fieldPosition="0">
        <references count="3">
          <reference field="4294967294" count="1" selected="0">
            <x v="0"/>
          </reference>
          <reference field="1" count="1" selected="0">
            <x v="1"/>
          </reference>
          <reference field="7" count="1" selected="0">
            <x v="1"/>
          </reference>
        </references>
      </pivotArea>
    </chartFormat>
    <chartFormat chart="2" format="125" series="1">
      <pivotArea type="data" outline="0" fieldPosition="0">
        <references count="3">
          <reference field="4294967294" count="1" selected="0">
            <x v="1"/>
          </reference>
          <reference field="1" count="1" selected="0">
            <x v="1"/>
          </reference>
          <reference field="7" count="1" selected="0">
            <x v="1"/>
          </reference>
        </references>
      </pivotArea>
    </chartFormat>
    <chartFormat chart="2" format="126" series="1">
      <pivotArea type="data" outline="0" fieldPosition="0">
        <references count="3">
          <reference field="4294967294" count="1" selected="0">
            <x v="2"/>
          </reference>
          <reference field="1" count="1" selected="0">
            <x v="1"/>
          </reference>
          <reference field="7" count="1" selected="0">
            <x v="1"/>
          </reference>
        </references>
      </pivotArea>
    </chartFormat>
    <chartFormat chart="2" format="127" series="1">
      <pivotArea type="data" outline="0" fieldPosition="0">
        <references count="3">
          <reference field="4294967294" count="1" selected="0">
            <x v="3"/>
          </reference>
          <reference field="1" count="1" selected="0">
            <x v="1"/>
          </reference>
          <reference field="7" count="1" selected="0">
            <x v="1"/>
          </reference>
        </references>
      </pivotArea>
    </chartFormat>
    <chartFormat chart="2" format="128" series="1">
      <pivotArea type="data" outline="0" fieldPosition="0">
        <references count="3">
          <reference field="4294967294" count="1" selected="0">
            <x v="0"/>
          </reference>
          <reference field="1" count="1" selected="0">
            <x v="0"/>
          </reference>
          <reference field="7" count="1" selected="0">
            <x v="2"/>
          </reference>
        </references>
      </pivotArea>
    </chartFormat>
    <chartFormat chart="2" format="129" series="1">
      <pivotArea type="data" outline="0" fieldPosition="0">
        <references count="3">
          <reference field="4294967294" count="1" selected="0">
            <x v="1"/>
          </reference>
          <reference field="1" count="1" selected="0">
            <x v="0"/>
          </reference>
          <reference field="7" count="1" selected="0">
            <x v="2"/>
          </reference>
        </references>
      </pivotArea>
    </chartFormat>
    <chartFormat chart="2" format="130" series="1">
      <pivotArea type="data" outline="0" fieldPosition="0">
        <references count="3">
          <reference field="4294967294" count="1" selected="0">
            <x v="2"/>
          </reference>
          <reference field="1" count="1" selected="0">
            <x v="0"/>
          </reference>
          <reference field="7" count="1" selected="0">
            <x v="2"/>
          </reference>
        </references>
      </pivotArea>
    </chartFormat>
    <chartFormat chart="2" format="131" series="1">
      <pivotArea type="data" outline="0" fieldPosition="0">
        <references count="3">
          <reference field="4294967294" count="1" selected="0">
            <x v="3"/>
          </reference>
          <reference field="1" count="1" selected="0">
            <x v="0"/>
          </reference>
          <reference field="7" count="1" selected="0">
            <x v="2"/>
          </reference>
        </references>
      </pivotArea>
    </chartFormat>
    <chartFormat chart="2" format="132" series="1">
      <pivotArea type="data" outline="0" fieldPosition="0">
        <references count="3">
          <reference field="4294967294" count="1" selected="0">
            <x v="0"/>
          </reference>
          <reference field="1" count="1" selected="0">
            <x v="0"/>
          </reference>
          <reference field="7" count="1" selected="0">
            <x v="3"/>
          </reference>
        </references>
      </pivotArea>
    </chartFormat>
    <chartFormat chart="2" format="133" series="1">
      <pivotArea type="data" outline="0" fieldPosition="0">
        <references count="3">
          <reference field="4294967294" count="1" selected="0">
            <x v="1"/>
          </reference>
          <reference field="1" count="1" selected="0">
            <x v="0"/>
          </reference>
          <reference field="7" count="1" selected="0">
            <x v="3"/>
          </reference>
        </references>
      </pivotArea>
    </chartFormat>
    <chartFormat chart="2" format="134" series="1">
      <pivotArea type="data" outline="0" fieldPosition="0">
        <references count="3">
          <reference field="4294967294" count="1" selected="0">
            <x v="2"/>
          </reference>
          <reference field="1" count="1" selected="0">
            <x v="0"/>
          </reference>
          <reference field="7" count="1" selected="0">
            <x v="3"/>
          </reference>
        </references>
      </pivotArea>
    </chartFormat>
    <chartFormat chart="2" format="135" series="1">
      <pivotArea type="data" outline="0" fieldPosition="0">
        <references count="3">
          <reference field="4294967294" count="1" selected="0">
            <x v="3"/>
          </reference>
          <reference field="1" count="1" selected="0">
            <x v="0"/>
          </reference>
          <reference field="7" count="1" selected="0">
            <x v="3"/>
          </reference>
        </references>
      </pivotArea>
    </chartFormat>
    <chartFormat chart="2" format="136" series="1">
      <pivotArea type="data" outline="0" fieldPosition="0">
        <references count="3">
          <reference field="4294967294" count="1" selected="0">
            <x v="0"/>
          </reference>
          <reference field="1" count="1" selected="0">
            <x v="0"/>
          </reference>
          <reference field="7" count="1" selected="0">
            <x v="4"/>
          </reference>
        </references>
      </pivotArea>
    </chartFormat>
    <chartFormat chart="2" format="137" series="1">
      <pivotArea type="data" outline="0" fieldPosition="0">
        <references count="3">
          <reference field="4294967294" count="1" selected="0">
            <x v="1"/>
          </reference>
          <reference field="1" count="1" selected="0">
            <x v="0"/>
          </reference>
          <reference field="7" count="1" selected="0">
            <x v="4"/>
          </reference>
        </references>
      </pivotArea>
    </chartFormat>
    <chartFormat chart="2" format="138" series="1">
      <pivotArea type="data" outline="0" fieldPosition="0">
        <references count="3">
          <reference field="4294967294" count="1" selected="0">
            <x v="2"/>
          </reference>
          <reference field="1" count="1" selected="0">
            <x v="0"/>
          </reference>
          <reference field="7" count="1" selected="0">
            <x v="4"/>
          </reference>
        </references>
      </pivotArea>
    </chartFormat>
    <chartFormat chart="2" format="139" series="1">
      <pivotArea type="data" outline="0" fieldPosition="0">
        <references count="3">
          <reference field="4294967294" count="1" selected="0">
            <x v="3"/>
          </reference>
          <reference field="1" count="1" selected="0">
            <x v="0"/>
          </reference>
          <reference field="7" count="1" selected="0">
            <x v="4"/>
          </reference>
        </references>
      </pivotArea>
    </chartFormat>
    <chartFormat chart="2" format="140" series="1">
      <pivotArea type="data" outline="0" fieldPosition="0">
        <references count="3">
          <reference field="4294967294" count="1" selected="0">
            <x v="0"/>
          </reference>
          <reference field="1" count="1" selected="0">
            <x v="0"/>
          </reference>
          <reference field="7" count="1" selected="0">
            <x v="5"/>
          </reference>
        </references>
      </pivotArea>
    </chartFormat>
    <chartFormat chart="2" format="141" series="1">
      <pivotArea type="data" outline="0" fieldPosition="0">
        <references count="3">
          <reference field="4294967294" count="1" selected="0">
            <x v="1"/>
          </reference>
          <reference field="1" count="1" selected="0">
            <x v="0"/>
          </reference>
          <reference field="7" count="1" selected="0">
            <x v="5"/>
          </reference>
        </references>
      </pivotArea>
    </chartFormat>
    <chartFormat chart="2" format="142" series="1">
      <pivotArea type="data" outline="0" fieldPosition="0">
        <references count="3">
          <reference field="4294967294" count="1" selected="0">
            <x v="2"/>
          </reference>
          <reference field="1" count="1" selected="0">
            <x v="0"/>
          </reference>
          <reference field="7" count="1" selected="0">
            <x v="5"/>
          </reference>
        </references>
      </pivotArea>
    </chartFormat>
    <chartFormat chart="2" format="143" series="1">
      <pivotArea type="data" outline="0" fieldPosition="0">
        <references count="3">
          <reference field="4294967294" count="1" selected="0">
            <x v="3"/>
          </reference>
          <reference field="1" count="1" selected="0">
            <x v="0"/>
          </reference>
          <reference field="7" count="1" selected="0">
            <x v="5"/>
          </reference>
        </references>
      </pivotArea>
    </chartFormat>
    <chartFormat chart="2" format="144" series="1">
      <pivotArea type="data" outline="0" fieldPosition="0">
        <references count="3">
          <reference field="4294967294" count="1" selected="0">
            <x v="0"/>
          </reference>
          <reference field="1" count="1" selected="0">
            <x v="0"/>
          </reference>
          <reference field="7" count="1" selected="0">
            <x v="6"/>
          </reference>
        </references>
      </pivotArea>
    </chartFormat>
    <chartFormat chart="2" format="145" series="1">
      <pivotArea type="data" outline="0" fieldPosition="0">
        <references count="3">
          <reference field="4294967294" count="1" selected="0">
            <x v="1"/>
          </reference>
          <reference field="1" count="1" selected="0">
            <x v="0"/>
          </reference>
          <reference field="7" count="1" selected="0">
            <x v="6"/>
          </reference>
        </references>
      </pivotArea>
    </chartFormat>
    <chartFormat chart="2" format="146" series="1">
      <pivotArea type="data" outline="0" fieldPosition="0">
        <references count="3">
          <reference field="4294967294" count="1" selected="0">
            <x v="2"/>
          </reference>
          <reference field="1" count="1" selected="0">
            <x v="0"/>
          </reference>
          <reference field="7" count="1" selected="0">
            <x v="6"/>
          </reference>
        </references>
      </pivotArea>
    </chartFormat>
    <chartFormat chart="2" format="147" series="1">
      <pivotArea type="data" outline="0" fieldPosition="0">
        <references count="3">
          <reference field="4294967294" count="1" selected="0">
            <x v="3"/>
          </reference>
          <reference field="1" count="1" selected="0">
            <x v="0"/>
          </reference>
          <reference field="7" count="1" selected="0">
            <x v="6"/>
          </reference>
        </references>
      </pivotArea>
    </chartFormat>
    <chartFormat chart="2" format="148" series="1">
      <pivotArea type="data" outline="0" fieldPosition="0">
        <references count="3">
          <reference field="4294967294" count="1" selected="0">
            <x v="0"/>
          </reference>
          <reference field="1" count="1" selected="0">
            <x v="0"/>
          </reference>
          <reference field="7" count="1" selected="0">
            <x v="7"/>
          </reference>
        </references>
      </pivotArea>
    </chartFormat>
    <chartFormat chart="2" format="149" series="1">
      <pivotArea type="data" outline="0" fieldPosition="0">
        <references count="3">
          <reference field="4294967294" count="1" selected="0">
            <x v="1"/>
          </reference>
          <reference field="1" count="1" selected="0">
            <x v="0"/>
          </reference>
          <reference field="7" count="1" selected="0">
            <x v="7"/>
          </reference>
        </references>
      </pivotArea>
    </chartFormat>
    <chartFormat chart="2" format="150" series="1">
      <pivotArea type="data" outline="0" fieldPosition="0">
        <references count="3">
          <reference field="4294967294" count="1" selected="0">
            <x v="2"/>
          </reference>
          <reference field="1" count="1" selected="0">
            <x v="0"/>
          </reference>
          <reference field="7" count="1" selected="0">
            <x v="7"/>
          </reference>
        </references>
      </pivotArea>
    </chartFormat>
    <chartFormat chart="2" format="151" series="1">
      <pivotArea type="data" outline="0" fieldPosition="0">
        <references count="3">
          <reference field="4294967294" count="1" selected="0">
            <x v="3"/>
          </reference>
          <reference field="1" count="1" selected="0">
            <x v="0"/>
          </reference>
          <reference field="7" count="1" selected="0">
            <x v="7"/>
          </reference>
        </references>
      </pivotArea>
    </chartFormat>
    <chartFormat chart="2" format="152" series="1">
      <pivotArea type="data" outline="0" fieldPosition="0">
        <references count="3">
          <reference field="4294967294" count="1" selected="0">
            <x v="0"/>
          </reference>
          <reference field="1" count="1" selected="0">
            <x v="0"/>
          </reference>
          <reference field="7" count="1" selected="0">
            <x v="8"/>
          </reference>
        </references>
      </pivotArea>
    </chartFormat>
    <chartFormat chart="2" format="153" series="1">
      <pivotArea type="data" outline="0" fieldPosition="0">
        <references count="3">
          <reference field="4294967294" count="1" selected="0">
            <x v="1"/>
          </reference>
          <reference field="1" count="1" selected="0">
            <x v="0"/>
          </reference>
          <reference field="7" count="1" selected="0">
            <x v="8"/>
          </reference>
        </references>
      </pivotArea>
    </chartFormat>
    <chartFormat chart="2" format="154" series="1">
      <pivotArea type="data" outline="0" fieldPosition="0">
        <references count="3">
          <reference field="4294967294" count="1" selected="0">
            <x v="2"/>
          </reference>
          <reference field="1" count="1" selected="0">
            <x v="0"/>
          </reference>
          <reference field="7" count="1" selected="0">
            <x v="8"/>
          </reference>
        </references>
      </pivotArea>
    </chartFormat>
    <chartFormat chart="2" format="155" series="1">
      <pivotArea type="data" outline="0" fieldPosition="0">
        <references count="3">
          <reference field="4294967294" count="1" selected="0">
            <x v="3"/>
          </reference>
          <reference field="1" count="1" selected="0">
            <x v="0"/>
          </reference>
          <reference field="7" count="1" selected="0">
            <x v="8"/>
          </reference>
        </references>
      </pivotArea>
    </chartFormat>
    <chartFormat chart="2" format="156" series="1">
      <pivotArea type="data" outline="0" fieldPosition="0">
        <references count="3">
          <reference field="4294967294" count="1" selected="0">
            <x v="0"/>
          </reference>
          <reference field="1" count="1" selected="0">
            <x v="0"/>
          </reference>
          <reference field="7" count="1" selected="0">
            <x v="9"/>
          </reference>
        </references>
      </pivotArea>
    </chartFormat>
    <chartFormat chart="2" format="157" series="1">
      <pivotArea type="data" outline="0" fieldPosition="0">
        <references count="3">
          <reference field="4294967294" count="1" selected="0">
            <x v="1"/>
          </reference>
          <reference field="1" count="1" selected="0">
            <x v="0"/>
          </reference>
          <reference field="7" count="1" selected="0">
            <x v="9"/>
          </reference>
        </references>
      </pivotArea>
    </chartFormat>
    <chartFormat chart="2" format="158" series="1">
      <pivotArea type="data" outline="0" fieldPosition="0">
        <references count="3">
          <reference field="4294967294" count="1" selected="0">
            <x v="2"/>
          </reference>
          <reference field="1" count="1" selected="0">
            <x v="0"/>
          </reference>
          <reference field="7" count="1" selected="0">
            <x v="9"/>
          </reference>
        </references>
      </pivotArea>
    </chartFormat>
    <chartFormat chart="2" format="159" series="1">
      <pivotArea type="data" outline="0" fieldPosition="0">
        <references count="3">
          <reference field="4294967294" count="1" selected="0">
            <x v="3"/>
          </reference>
          <reference field="1" count="1" selected="0">
            <x v="0"/>
          </reference>
          <reference field="7" count="1" selected="0">
            <x v="9"/>
          </reference>
        </references>
      </pivotArea>
    </chartFormat>
    <chartFormat chart="2" format="160" series="1">
      <pivotArea type="data" outline="0" fieldPosition="0">
        <references count="3">
          <reference field="4294967294" count="1" selected="0">
            <x v="0"/>
          </reference>
          <reference field="1" count="1" selected="0">
            <x v="0"/>
          </reference>
          <reference field="7" count="1" selected="0">
            <x v="10"/>
          </reference>
        </references>
      </pivotArea>
    </chartFormat>
    <chartFormat chart="2" format="161" series="1">
      <pivotArea type="data" outline="0" fieldPosition="0">
        <references count="3">
          <reference field="4294967294" count="1" selected="0">
            <x v="1"/>
          </reference>
          <reference field="1" count="1" selected="0">
            <x v="0"/>
          </reference>
          <reference field="7" count="1" selected="0">
            <x v="10"/>
          </reference>
        </references>
      </pivotArea>
    </chartFormat>
    <chartFormat chart="2" format="162" series="1">
      <pivotArea type="data" outline="0" fieldPosition="0">
        <references count="3">
          <reference field="4294967294" count="1" selected="0">
            <x v="2"/>
          </reference>
          <reference field="1" count="1" selected="0">
            <x v="0"/>
          </reference>
          <reference field="7" count="1" selected="0">
            <x v="10"/>
          </reference>
        </references>
      </pivotArea>
    </chartFormat>
    <chartFormat chart="2" format="163" series="1">
      <pivotArea type="data" outline="0" fieldPosition="0">
        <references count="3">
          <reference field="4294967294" count="1" selected="0">
            <x v="3"/>
          </reference>
          <reference field="1" count="1" selected="0">
            <x v="0"/>
          </reference>
          <reference field="7" count="1" selected="0">
            <x v="10"/>
          </reference>
        </references>
      </pivotArea>
    </chartFormat>
    <chartFormat chart="2" format="164" series="1">
      <pivotArea type="data" outline="0" fieldPosition="0">
        <references count="3">
          <reference field="4294967294" count="1" selected="0">
            <x v="0"/>
          </reference>
          <reference field="1" count="1" selected="0">
            <x v="0"/>
          </reference>
          <reference field="7" count="1" selected="0">
            <x v="11"/>
          </reference>
        </references>
      </pivotArea>
    </chartFormat>
    <chartFormat chart="2" format="165" series="1">
      <pivotArea type="data" outline="0" fieldPosition="0">
        <references count="3">
          <reference field="4294967294" count="1" selected="0">
            <x v="1"/>
          </reference>
          <reference field="1" count="1" selected="0">
            <x v="0"/>
          </reference>
          <reference field="7" count="1" selected="0">
            <x v="11"/>
          </reference>
        </references>
      </pivotArea>
    </chartFormat>
    <chartFormat chart="2" format="166" series="1">
      <pivotArea type="data" outline="0" fieldPosition="0">
        <references count="3">
          <reference field="4294967294" count="1" selected="0">
            <x v="2"/>
          </reference>
          <reference field="1" count="1" selected="0">
            <x v="0"/>
          </reference>
          <reference field="7" count="1" selected="0">
            <x v="11"/>
          </reference>
        </references>
      </pivotArea>
    </chartFormat>
    <chartFormat chart="2" format="167" series="1">
      <pivotArea type="data" outline="0" fieldPosition="0">
        <references count="3">
          <reference field="4294967294" count="1" selected="0">
            <x v="3"/>
          </reference>
          <reference field="1" count="1" selected="0">
            <x v="0"/>
          </reference>
          <reference field="7" count="1" selected="0">
            <x v="11"/>
          </reference>
        </references>
      </pivotArea>
    </chartFormat>
    <chartFormat chart="10" format="176" series="1">
      <pivotArea type="data" outline="0" fieldPosition="0">
        <references count="3">
          <reference field="4294967294" count="1" selected="0">
            <x v="0"/>
          </reference>
          <reference field="1" count="1" selected="0">
            <x v="0"/>
          </reference>
          <reference field="7" count="1" selected="0">
            <x v="1"/>
          </reference>
        </references>
      </pivotArea>
    </chartFormat>
    <chartFormat chart="10" format="177" series="1">
      <pivotArea type="data" outline="0" fieldPosition="0">
        <references count="3">
          <reference field="4294967294" count="1" selected="0">
            <x v="1"/>
          </reference>
          <reference field="1" count="1" selected="0">
            <x v="0"/>
          </reference>
          <reference field="7" count="1" selected="0">
            <x v="1"/>
          </reference>
        </references>
      </pivotArea>
    </chartFormat>
    <chartFormat chart="10" format="178" series="1">
      <pivotArea type="data" outline="0" fieldPosition="0">
        <references count="3">
          <reference field="4294967294" count="1" selected="0">
            <x v="2"/>
          </reference>
          <reference field="1" count="1" selected="0">
            <x v="0"/>
          </reference>
          <reference field="7" count="1" selected="0">
            <x v="1"/>
          </reference>
        </references>
      </pivotArea>
    </chartFormat>
    <chartFormat chart="10" format="179" series="1">
      <pivotArea type="data" outline="0" fieldPosition="0">
        <references count="3">
          <reference field="4294967294" count="1" selected="0">
            <x v="3"/>
          </reference>
          <reference field="1" count="1" selected="0">
            <x v="0"/>
          </reference>
          <reference field="7" count="1" selected="0">
            <x v="1"/>
          </reference>
        </references>
      </pivotArea>
    </chartFormat>
    <chartFormat chart="10" format="180" series="1">
      <pivotArea type="data" outline="0" fieldPosition="0">
        <references count="3">
          <reference field="4294967294" count="1" selected="0">
            <x v="0"/>
          </reference>
          <reference field="1" count="1" selected="0">
            <x v="1"/>
          </reference>
          <reference field="7" count="1" selected="0">
            <x v="1"/>
          </reference>
        </references>
      </pivotArea>
    </chartFormat>
    <chartFormat chart="10" format="181" series="1">
      <pivotArea type="data" outline="0" fieldPosition="0">
        <references count="3">
          <reference field="4294967294" count="1" selected="0">
            <x v="1"/>
          </reference>
          <reference field="1" count="1" selected="0">
            <x v="1"/>
          </reference>
          <reference field="7" count="1" selected="0">
            <x v="1"/>
          </reference>
        </references>
      </pivotArea>
    </chartFormat>
    <chartFormat chart="10" format="182" series="1">
      <pivotArea type="data" outline="0" fieldPosition="0">
        <references count="3">
          <reference field="4294967294" count="1" selected="0">
            <x v="2"/>
          </reference>
          <reference field="1" count="1" selected="0">
            <x v="1"/>
          </reference>
          <reference field="7" count="1" selected="0">
            <x v="1"/>
          </reference>
        </references>
      </pivotArea>
    </chartFormat>
    <chartFormat chart="10" format="183" series="1">
      <pivotArea type="data" outline="0" fieldPosition="0">
        <references count="3">
          <reference field="4294967294" count="1" selected="0">
            <x v="3"/>
          </reference>
          <reference field="1" count="1" selected="0">
            <x v="1"/>
          </reference>
          <reference field="7" count="1" selected="0">
            <x v="1"/>
          </reference>
        </references>
      </pivotArea>
    </chartFormat>
    <chartFormat chart="10" format="184" series="1">
      <pivotArea type="data" outline="0" fieldPosition="0">
        <references count="3">
          <reference field="4294967294" count="1" selected="0">
            <x v="0"/>
          </reference>
          <reference field="1" count="1" selected="0">
            <x v="0"/>
          </reference>
          <reference field="7" count="1" selected="0">
            <x v="3"/>
          </reference>
        </references>
      </pivotArea>
    </chartFormat>
    <chartFormat chart="10" format="185" series="1">
      <pivotArea type="data" outline="0" fieldPosition="0">
        <references count="3">
          <reference field="4294967294" count="1" selected="0">
            <x v="1"/>
          </reference>
          <reference field="1" count="1" selected="0">
            <x v="0"/>
          </reference>
          <reference field="7" count="1" selected="0">
            <x v="3"/>
          </reference>
        </references>
      </pivotArea>
    </chartFormat>
    <chartFormat chart="10" format="186" series="1">
      <pivotArea type="data" outline="0" fieldPosition="0">
        <references count="3">
          <reference field="4294967294" count="1" selected="0">
            <x v="2"/>
          </reference>
          <reference field="1" count="1" selected="0">
            <x v="0"/>
          </reference>
          <reference field="7" count="1" selected="0">
            <x v="3"/>
          </reference>
        </references>
      </pivotArea>
    </chartFormat>
    <chartFormat chart="10" format="187" series="1">
      <pivotArea type="data" outline="0" fieldPosition="0">
        <references count="3">
          <reference field="4294967294" count="1" selected="0">
            <x v="3"/>
          </reference>
          <reference field="1" count="1" selected="0">
            <x v="0"/>
          </reference>
          <reference field="7" count="1" selected="0">
            <x v="3"/>
          </reference>
        </references>
      </pivotArea>
    </chartFormat>
    <chartFormat chart="10" format="188" series="1">
      <pivotArea type="data" outline="0" fieldPosition="0">
        <references count="3">
          <reference field="4294967294" count="1" selected="0">
            <x v="0"/>
          </reference>
          <reference field="1" count="1" selected="0">
            <x v="0"/>
          </reference>
          <reference field="7" count="1" selected="0">
            <x v="4"/>
          </reference>
        </references>
      </pivotArea>
    </chartFormat>
    <chartFormat chart="10" format="189" series="1">
      <pivotArea type="data" outline="0" fieldPosition="0">
        <references count="3">
          <reference field="4294967294" count="1" selected="0">
            <x v="1"/>
          </reference>
          <reference field="1" count="1" selected="0">
            <x v="0"/>
          </reference>
          <reference field="7" count="1" selected="0">
            <x v="4"/>
          </reference>
        </references>
      </pivotArea>
    </chartFormat>
    <chartFormat chart="10" format="190" series="1">
      <pivotArea type="data" outline="0" fieldPosition="0">
        <references count="3">
          <reference field="4294967294" count="1" selected="0">
            <x v="2"/>
          </reference>
          <reference field="1" count="1" selected="0">
            <x v="0"/>
          </reference>
          <reference field="7" count="1" selected="0">
            <x v="4"/>
          </reference>
        </references>
      </pivotArea>
    </chartFormat>
    <chartFormat chart="10" format="191" series="1">
      <pivotArea type="data" outline="0" fieldPosition="0">
        <references count="3">
          <reference field="4294967294" count="1" selected="0">
            <x v="3"/>
          </reference>
          <reference field="1" count="1" selected="0">
            <x v="0"/>
          </reference>
          <reference field="7" count="1" selected="0">
            <x v="4"/>
          </reference>
        </references>
      </pivotArea>
    </chartFormat>
    <chartFormat chart="10" format="192" series="1">
      <pivotArea type="data" outline="0" fieldPosition="0">
        <references count="3">
          <reference field="4294967294" count="1" selected="0">
            <x v="0"/>
          </reference>
          <reference field="1" count="1" selected="0">
            <x v="0"/>
          </reference>
          <reference field="7" count="1" selected="0">
            <x v="5"/>
          </reference>
        </references>
      </pivotArea>
    </chartFormat>
    <chartFormat chart="10" format="193" series="1">
      <pivotArea type="data" outline="0" fieldPosition="0">
        <references count="3">
          <reference field="4294967294" count="1" selected="0">
            <x v="1"/>
          </reference>
          <reference field="1" count="1" selected="0">
            <x v="0"/>
          </reference>
          <reference field="7" count="1" selected="0">
            <x v="5"/>
          </reference>
        </references>
      </pivotArea>
    </chartFormat>
    <chartFormat chart="10" format="194" series="1">
      <pivotArea type="data" outline="0" fieldPosition="0">
        <references count="3">
          <reference field="4294967294" count="1" selected="0">
            <x v="2"/>
          </reference>
          <reference field="1" count="1" selected="0">
            <x v="0"/>
          </reference>
          <reference field="7" count="1" selected="0">
            <x v="5"/>
          </reference>
        </references>
      </pivotArea>
    </chartFormat>
    <chartFormat chart="10" format="195" series="1">
      <pivotArea type="data" outline="0" fieldPosition="0">
        <references count="3">
          <reference field="4294967294" count="1" selected="0">
            <x v="3"/>
          </reference>
          <reference field="1" count="1" selected="0">
            <x v="0"/>
          </reference>
          <reference field="7" count="1" selected="0">
            <x v="5"/>
          </reference>
        </references>
      </pivotArea>
    </chartFormat>
    <chartFormat chart="10" format="196" series="1">
      <pivotArea type="data" outline="0" fieldPosition="0">
        <references count="3">
          <reference field="4294967294" count="1" selected="0">
            <x v="0"/>
          </reference>
          <reference field="1" count="1" selected="0">
            <x v="0"/>
          </reference>
          <reference field="7" count="1" selected="0">
            <x v="6"/>
          </reference>
        </references>
      </pivotArea>
    </chartFormat>
    <chartFormat chart="10" format="197" series="1">
      <pivotArea type="data" outline="0" fieldPosition="0">
        <references count="3">
          <reference field="4294967294" count="1" selected="0">
            <x v="1"/>
          </reference>
          <reference field="1" count="1" selected="0">
            <x v="0"/>
          </reference>
          <reference field="7" count="1" selected="0">
            <x v="6"/>
          </reference>
        </references>
      </pivotArea>
    </chartFormat>
    <chartFormat chart="10" format="198" series="1">
      <pivotArea type="data" outline="0" fieldPosition="0">
        <references count="3">
          <reference field="4294967294" count="1" selected="0">
            <x v="2"/>
          </reference>
          <reference field="1" count="1" selected="0">
            <x v="0"/>
          </reference>
          <reference field="7" count="1" selected="0">
            <x v="6"/>
          </reference>
        </references>
      </pivotArea>
    </chartFormat>
    <chartFormat chart="10" format="199" series="1">
      <pivotArea type="data" outline="0" fieldPosition="0">
        <references count="3">
          <reference field="4294967294" count="1" selected="0">
            <x v="3"/>
          </reference>
          <reference field="1" count="1" selected="0">
            <x v="0"/>
          </reference>
          <reference field="7" count="1" selected="0">
            <x v="6"/>
          </reference>
        </references>
      </pivotArea>
    </chartFormat>
    <chartFormat chart="10" format="200" series="1">
      <pivotArea type="data" outline="0" fieldPosition="0">
        <references count="3">
          <reference field="4294967294" count="1" selected="0">
            <x v="0"/>
          </reference>
          <reference field="1" count="1" selected="0">
            <x v="0"/>
          </reference>
          <reference field="7" count="1" selected="0">
            <x v="7"/>
          </reference>
        </references>
      </pivotArea>
    </chartFormat>
    <chartFormat chart="10" format="201" series="1">
      <pivotArea type="data" outline="0" fieldPosition="0">
        <references count="3">
          <reference field="4294967294" count="1" selected="0">
            <x v="1"/>
          </reference>
          <reference field="1" count="1" selected="0">
            <x v="0"/>
          </reference>
          <reference field="7" count="1" selected="0">
            <x v="7"/>
          </reference>
        </references>
      </pivotArea>
    </chartFormat>
    <chartFormat chart="10" format="202" series="1">
      <pivotArea type="data" outline="0" fieldPosition="0">
        <references count="3">
          <reference field="4294967294" count="1" selected="0">
            <x v="2"/>
          </reference>
          <reference field="1" count="1" selected="0">
            <x v="0"/>
          </reference>
          <reference field="7" count="1" selected="0">
            <x v="7"/>
          </reference>
        </references>
      </pivotArea>
    </chartFormat>
    <chartFormat chart="10" format="203" series="1">
      <pivotArea type="data" outline="0" fieldPosition="0">
        <references count="3">
          <reference field="4294967294" count="1" selected="0">
            <x v="3"/>
          </reference>
          <reference field="1" count="1" selected="0">
            <x v="0"/>
          </reference>
          <reference field="7" count="1" selected="0">
            <x v="7"/>
          </reference>
        </references>
      </pivotArea>
    </chartFormat>
    <chartFormat chart="10" format="204" series="1">
      <pivotArea type="data" outline="0" fieldPosition="0">
        <references count="3">
          <reference field="4294967294" count="1" selected="0">
            <x v="0"/>
          </reference>
          <reference field="1" count="1" selected="0">
            <x v="0"/>
          </reference>
          <reference field="7" count="1" selected="0">
            <x v="8"/>
          </reference>
        </references>
      </pivotArea>
    </chartFormat>
    <chartFormat chart="10" format="205" series="1">
      <pivotArea type="data" outline="0" fieldPosition="0">
        <references count="3">
          <reference field="4294967294" count="1" selected="0">
            <x v="1"/>
          </reference>
          <reference field="1" count="1" selected="0">
            <x v="0"/>
          </reference>
          <reference field="7" count="1" selected="0">
            <x v="8"/>
          </reference>
        </references>
      </pivotArea>
    </chartFormat>
    <chartFormat chart="10" format="206" series="1">
      <pivotArea type="data" outline="0" fieldPosition="0">
        <references count="3">
          <reference field="4294967294" count="1" selected="0">
            <x v="2"/>
          </reference>
          <reference field="1" count="1" selected="0">
            <x v="0"/>
          </reference>
          <reference field="7" count="1" selected="0">
            <x v="8"/>
          </reference>
        </references>
      </pivotArea>
    </chartFormat>
    <chartFormat chart="10" format="207" series="1">
      <pivotArea type="data" outline="0" fieldPosition="0">
        <references count="3">
          <reference field="4294967294" count="1" selected="0">
            <x v="3"/>
          </reference>
          <reference field="1" count="1" selected="0">
            <x v="0"/>
          </reference>
          <reference field="7" count="1" selected="0">
            <x v="8"/>
          </reference>
        </references>
      </pivotArea>
    </chartFormat>
    <chartFormat chart="10" format="208" series="1">
      <pivotArea type="data" outline="0" fieldPosition="0">
        <references count="3">
          <reference field="4294967294" count="1" selected="0">
            <x v="0"/>
          </reference>
          <reference field="1" count="1" selected="0">
            <x v="0"/>
          </reference>
          <reference field="7" count="1" selected="0">
            <x v="9"/>
          </reference>
        </references>
      </pivotArea>
    </chartFormat>
    <chartFormat chart="10" format="209" series="1">
      <pivotArea type="data" outline="0" fieldPosition="0">
        <references count="3">
          <reference field="4294967294" count="1" selected="0">
            <x v="1"/>
          </reference>
          <reference field="1" count="1" selected="0">
            <x v="0"/>
          </reference>
          <reference field="7" count="1" selected="0">
            <x v="9"/>
          </reference>
        </references>
      </pivotArea>
    </chartFormat>
    <chartFormat chart="10" format="210" series="1">
      <pivotArea type="data" outline="0" fieldPosition="0">
        <references count="3">
          <reference field="4294967294" count="1" selected="0">
            <x v="2"/>
          </reference>
          <reference field="1" count="1" selected="0">
            <x v="0"/>
          </reference>
          <reference field="7" count="1" selected="0">
            <x v="9"/>
          </reference>
        </references>
      </pivotArea>
    </chartFormat>
    <chartFormat chart="10" format="211" series="1">
      <pivotArea type="data" outline="0" fieldPosition="0">
        <references count="3">
          <reference field="4294967294" count="1" selected="0">
            <x v="3"/>
          </reference>
          <reference field="1" count="1" selected="0">
            <x v="0"/>
          </reference>
          <reference field="7" count="1" selected="0">
            <x v="9"/>
          </reference>
        </references>
      </pivotArea>
    </chartFormat>
    <chartFormat chart="10" format="212" series="1">
      <pivotArea type="data" outline="0" fieldPosition="0">
        <references count="3">
          <reference field="4294967294" count="1" selected="0">
            <x v="0"/>
          </reference>
          <reference field="1" count="1" selected="0">
            <x v="0"/>
          </reference>
          <reference field="7" count="1" selected="0">
            <x v="10"/>
          </reference>
        </references>
      </pivotArea>
    </chartFormat>
    <chartFormat chart="10" format="213" series="1">
      <pivotArea type="data" outline="0" fieldPosition="0">
        <references count="3">
          <reference field="4294967294" count="1" selected="0">
            <x v="1"/>
          </reference>
          <reference field="1" count="1" selected="0">
            <x v="0"/>
          </reference>
          <reference field="7" count="1" selected="0">
            <x v="10"/>
          </reference>
        </references>
      </pivotArea>
    </chartFormat>
    <chartFormat chart="10" format="214" series="1">
      <pivotArea type="data" outline="0" fieldPosition="0">
        <references count="3">
          <reference field="4294967294" count="1" selected="0">
            <x v="2"/>
          </reference>
          <reference field="1" count="1" selected="0">
            <x v="0"/>
          </reference>
          <reference field="7" count="1" selected="0">
            <x v="10"/>
          </reference>
        </references>
      </pivotArea>
    </chartFormat>
    <chartFormat chart="10" format="215" series="1">
      <pivotArea type="data" outline="0" fieldPosition="0">
        <references count="3">
          <reference field="4294967294" count="1" selected="0">
            <x v="3"/>
          </reference>
          <reference field="1" count="1" selected="0">
            <x v="0"/>
          </reference>
          <reference field="7" count="1" selected="0">
            <x v="10"/>
          </reference>
        </references>
      </pivotArea>
    </chartFormat>
    <chartFormat chart="10" format="216" series="1">
      <pivotArea type="data" outline="0" fieldPosition="0">
        <references count="3">
          <reference field="4294967294" count="1" selected="0">
            <x v="0"/>
          </reference>
          <reference field="1" count="1" selected="0">
            <x v="0"/>
          </reference>
          <reference field="7" count="1" selected="0">
            <x v="11"/>
          </reference>
        </references>
      </pivotArea>
    </chartFormat>
    <chartFormat chart="10" format="217" series="1">
      <pivotArea type="data" outline="0" fieldPosition="0">
        <references count="3">
          <reference field="4294967294" count="1" selected="0">
            <x v="1"/>
          </reference>
          <reference field="1" count="1" selected="0">
            <x v="0"/>
          </reference>
          <reference field="7" count="1" selected="0">
            <x v="11"/>
          </reference>
        </references>
      </pivotArea>
    </chartFormat>
    <chartFormat chart="10" format="218" series="1">
      <pivotArea type="data" outline="0" fieldPosition="0">
        <references count="3">
          <reference field="4294967294" count="1" selected="0">
            <x v="2"/>
          </reference>
          <reference field="1" count="1" selected="0">
            <x v="0"/>
          </reference>
          <reference field="7" count="1" selected="0">
            <x v="11"/>
          </reference>
        </references>
      </pivotArea>
    </chartFormat>
    <chartFormat chart="10" format="219" series="1">
      <pivotArea type="data" outline="0" fieldPosition="0">
        <references count="3">
          <reference field="4294967294" count="1" selected="0">
            <x v="3"/>
          </reference>
          <reference field="1" count="1" selected="0">
            <x v="0"/>
          </reference>
          <reference field="7" count="1" selected="0">
            <x v="11"/>
          </reference>
        </references>
      </pivotArea>
    </chartFormat>
    <chartFormat chart="10" format="220" series="1">
      <pivotArea type="data" outline="0" fieldPosition="0">
        <references count="3">
          <reference field="4294967294" count="1" selected="0">
            <x v="0"/>
          </reference>
          <reference field="1" count="1" selected="0">
            <x v="0"/>
          </reference>
          <reference field="7" count="1" selected="0">
            <x v="0"/>
          </reference>
        </references>
      </pivotArea>
    </chartFormat>
    <chartFormat chart="10" format="221" series="1">
      <pivotArea type="data" outline="0" fieldPosition="0">
        <references count="3">
          <reference field="4294967294" count="1" selected="0">
            <x v="1"/>
          </reference>
          <reference field="1" count="1" selected="0">
            <x v="0"/>
          </reference>
          <reference field="7" count="1" selected="0">
            <x v="0"/>
          </reference>
        </references>
      </pivotArea>
    </chartFormat>
    <chartFormat chart="10" format="222" series="1">
      <pivotArea type="data" outline="0" fieldPosition="0">
        <references count="3">
          <reference field="4294967294" count="1" selected="0">
            <x v="2"/>
          </reference>
          <reference field="1" count="1" selected="0">
            <x v="0"/>
          </reference>
          <reference field="7" count="1" selected="0">
            <x v="0"/>
          </reference>
        </references>
      </pivotArea>
    </chartFormat>
    <chartFormat chart="10" format="223" series="1">
      <pivotArea type="data" outline="0" fieldPosition="0">
        <references count="3">
          <reference field="4294967294" count="1" selected="0">
            <x v="3"/>
          </reference>
          <reference field="1" count="1" selected="0">
            <x v="0"/>
          </reference>
          <reference field="7" count="1" selected="0">
            <x v="0"/>
          </reference>
        </references>
      </pivotArea>
    </chartFormat>
    <chartFormat chart="10" format="224" series="1">
      <pivotArea type="data" outline="0" fieldPosition="0">
        <references count="3">
          <reference field="4294967294" count="1" selected="0">
            <x v="0"/>
          </reference>
          <reference field="1" count="1" selected="0">
            <x v="1"/>
          </reference>
          <reference field="7" count="1" selected="0">
            <x v="0"/>
          </reference>
        </references>
      </pivotArea>
    </chartFormat>
    <chartFormat chart="10" format="225" series="1">
      <pivotArea type="data" outline="0" fieldPosition="0">
        <references count="3">
          <reference field="4294967294" count="1" selected="0">
            <x v="1"/>
          </reference>
          <reference field="1" count="1" selected="0">
            <x v="1"/>
          </reference>
          <reference field="7" count="1" selected="0">
            <x v="0"/>
          </reference>
        </references>
      </pivotArea>
    </chartFormat>
    <chartFormat chart="10" format="226" series="1">
      <pivotArea type="data" outline="0" fieldPosition="0">
        <references count="3">
          <reference field="4294967294" count="1" selected="0">
            <x v="2"/>
          </reference>
          <reference field="1" count="1" selected="0">
            <x v="1"/>
          </reference>
          <reference field="7" count="1" selected="0">
            <x v="0"/>
          </reference>
        </references>
      </pivotArea>
    </chartFormat>
    <chartFormat chart="10" format="227" series="1">
      <pivotArea type="data" outline="0" fieldPosition="0">
        <references count="3">
          <reference field="4294967294" count="1" selected="0">
            <x v="3"/>
          </reference>
          <reference field="1" count="1" selected="0">
            <x v="1"/>
          </reference>
          <reference field="7" count="1" selected="0">
            <x v="0"/>
          </reference>
        </references>
      </pivotArea>
    </chartFormat>
    <chartFormat chart="10" format="228" series="1">
      <pivotArea type="data" outline="0" fieldPosition="0">
        <references count="3">
          <reference field="4294967294" count="1" selected="0">
            <x v="0"/>
          </reference>
          <reference field="1" count="1" selected="0">
            <x v="0"/>
          </reference>
          <reference field="7" count="1" selected="0">
            <x v="2"/>
          </reference>
        </references>
      </pivotArea>
    </chartFormat>
    <chartFormat chart="10" format="229" series="1">
      <pivotArea type="data" outline="0" fieldPosition="0">
        <references count="3">
          <reference field="4294967294" count="1" selected="0">
            <x v="1"/>
          </reference>
          <reference field="1" count="1" selected="0">
            <x v="0"/>
          </reference>
          <reference field="7" count="1" selected="0">
            <x v="2"/>
          </reference>
        </references>
      </pivotArea>
    </chartFormat>
    <chartFormat chart="10" format="230" series="1">
      <pivotArea type="data" outline="0" fieldPosition="0">
        <references count="3">
          <reference field="4294967294" count="1" selected="0">
            <x v="2"/>
          </reference>
          <reference field="1" count="1" selected="0">
            <x v="0"/>
          </reference>
          <reference field="7" count="1" selected="0">
            <x v="2"/>
          </reference>
        </references>
      </pivotArea>
    </chartFormat>
    <chartFormat chart="10" format="231" series="1">
      <pivotArea type="data" outline="0" fieldPosition="0">
        <references count="3">
          <reference field="4294967294" count="1" selected="0">
            <x v="3"/>
          </reference>
          <reference field="1" count="1" selected="0">
            <x v="0"/>
          </reference>
          <reference field="7" count="1" selected="0">
            <x v="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980EF8-62AC-43BA-B497-683E9A2D54C2}" autoFormatId="16" applyNumberFormats="0" applyBorderFormats="0" applyFontFormats="0" applyPatternFormats="0" applyAlignmentFormats="0" applyWidthHeightFormats="0">
  <queryTableRefresh nextId="10" unboundColumnsRight="2">
    <queryTableFields count="9">
      <queryTableField id="1" name="branch_name" tableColumnId="1"/>
      <queryTableField id="2" name="sale_year" tableColumnId="2"/>
      <queryTableField id="3" name="sale_month" tableColumnId="3"/>
      <queryTableField id="4" name="revenue" tableColumnId="4"/>
      <queryTableField id="5" name="weight_sold" tableColumnId="5"/>
      <queryTableField id="6" name="transaction_count" tableColumnId="6"/>
      <queryTableField id="7" name="avg_transaction_value" tableColumnId="7"/>
      <queryTableField id="8" dataBound="0"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0F7EEF10-C8ED-4609-9C3F-779F7D0E983C}" sourceName="branch_name">
  <pivotTables>
    <pivotTable tabId="3" name="PivotTable1"/>
    <pivotTable tabId="6" name="PivotTable2"/>
  </pivotTables>
  <data>
    <tabular pivotCacheId="1977211829">
      <items count="18">
        <i x="0" s="1"/>
        <i x="1" s="1"/>
        <i x="2" s="1"/>
        <i x="3" s="1"/>
        <i x="4" s="1"/>
        <i x="5" s="1"/>
        <i x="6" s="1"/>
        <i x="7" s="1"/>
        <i x="8" s="1"/>
        <i x="9" s="1"/>
        <i x="10" s="1"/>
        <i x="11" s="1"/>
        <i x="12" s="1"/>
        <i x="13" s="1"/>
        <i x="14" s="1"/>
        <i x="15" s="1"/>
        <i x="16"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year" xr10:uid="{FFCCB7FF-7C7B-4669-93FC-8D9B4373CE7C}" sourceName="sale_year">
  <pivotTables>
    <pivotTable tabId="3" name="PivotTable1"/>
    <pivotTable tabId="6" name="PivotTable2"/>
  </pivotTables>
  <data>
    <tabular pivotCacheId="197721182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6C560F5-A9E3-4A42-AEFB-2B6C32B6A787}" sourceName="month_name">
  <pivotTables>
    <pivotTable tabId="3" name="PivotTable1"/>
    <pivotTable tabId="6" name="PivotTable2"/>
  </pivotTables>
  <data>
    <tabular pivotCacheId="1977211829">
      <items count="12">
        <i x="0" s="1"/>
        <i x="1" s="1"/>
        <i x="1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_name" xr10:uid="{057B306C-3390-4678-AA32-6AC75F2606FF}" cache="Slicer_branch_name" caption="branch_name" rowHeight="241300"/>
  <slicer name="sale_year" xr10:uid="{FBC27984-5AF3-4CDA-BCE9-011F261F920E}" cache="Slicer_sale_year" caption="sale_year" rowHeight="241300"/>
  <slicer name="month_name" xr10:uid="{DB163A3E-E07C-474E-BF61-4BDF4BD4FC76}" cache="Slicer_month_name" caption="month_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_name 1" xr10:uid="{2A00239E-3808-4311-87EA-D546F0B8CEDF}" cache="Slicer_branch_name" caption="branch_name" startItem="5" rowHeight="241300"/>
  <slicer name="sale_year 1" xr10:uid="{06B60F2A-A88F-4961-9C3D-2565D00BF9FD}" cache="Slicer_sale_year" caption="sale_year" rowHeight="241300"/>
  <slicer name="month_name 1" xr10:uid="{E8FEDC3D-3FD0-42E1-A15D-418610DAFA11}" cache="Slicer_month_name" caption="month_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54AF70-4629-44D9-9E5F-3A8E93708792}" name="Branch_Revenue_Data" displayName="Branch_Revenue_Data" ref="A1:I189" tableType="queryTable" totalsRowShown="0">
  <autoFilter ref="A1:I189" xr:uid="{CF54AF70-4629-44D9-9E5F-3A8E93708792}"/>
  <tableColumns count="9">
    <tableColumn id="1" xr3:uid="{7ED667C9-76A4-4C75-90D5-044FEB5D9BAE}" uniqueName="1" name="branch_name" queryTableFieldId="1" dataDxfId="4"/>
    <tableColumn id="2" xr3:uid="{CC2CE80B-11B1-4ED6-B385-0C2D8CC03350}" uniqueName="2" name="sale_year" queryTableFieldId="2"/>
    <tableColumn id="3" xr3:uid="{77A163A2-1C46-48BB-B652-8F67F296FF1D}" uniqueName="3" name="sale_month" queryTableFieldId="3"/>
    <tableColumn id="4" xr3:uid="{EE51F0CA-E8B4-491F-90A6-CAB324DB69BA}" uniqueName="4" name="revenue" queryTableFieldId="4"/>
    <tableColumn id="5" xr3:uid="{238D7490-5E81-4A61-B4EA-757A45E4A238}" uniqueName="5" name="weight_sold" queryTableFieldId="5"/>
    <tableColumn id="6" xr3:uid="{E9CF80B1-7A4B-4EFC-8E50-691B7937A6C8}" uniqueName="6" name="transaction_count" queryTableFieldId="6"/>
    <tableColumn id="7" xr3:uid="{271F355A-FE71-41E8-8A31-E17A956B25EE}" uniqueName="7" name="avg_transaction_value" queryTableFieldId="7"/>
    <tableColumn id="8" xr3:uid="{6C65BB51-7072-4098-B723-1A419DB49342}" uniqueName="8" name="month_name" queryTableFieldId="8" dataDxfId="3">
      <calculatedColumnFormula>TEXT(DATE(2025,C2,1),"mmmm")</calculatedColumnFormula>
    </tableColumn>
    <tableColumn id="9" xr3:uid="{ECF6C3F3-541E-4AB1-9F41-A7CC4599BB61}" uniqueName="9" name="Column1"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39A8F-691C-4B2F-B03F-9A94A2D2DFC5}">
  <dimension ref="A3:T17"/>
  <sheetViews>
    <sheetView workbookViewId="0">
      <selection activeCell="E12" sqref="E12"/>
    </sheetView>
  </sheetViews>
  <sheetFormatPr defaultRowHeight="14.5" x14ac:dyDescent="0.35"/>
  <cols>
    <col min="1" max="1" width="14" bestFit="1" customWidth="1"/>
    <col min="2" max="2" width="15.26953125" bestFit="1" customWidth="1"/>
    <col min="3" max="4" width="11.81640625" bestFit="1" customWidth="1"/>
    <col min="5" max="5" width="9.08984375" bestFit="1" customWidth="1"/>
    <col min="6" max="6" width="11.81640625" bestFit="1" customWidth="1"/>
    <col min="7" max="8" width="9.08984375" bestFit="1" customWidth="1"/>
    <col min="9" max="9" width="10.81640625" bestFit="1" customWidth="1"/>
    <col min="10" max="16" width="9.08984375" bestFit="1" customWidth="1"/>
    <col min="17" max="18" width="11.81640625" bestFit="1" customWidth="1"/>
    <col min="19" max="19" width="9.08984375" bestFit="1" customWidth="1"/>
    <col min="20" max="20" width="11.81640625" bestFit="1" customWidth="1"/>
  </cols>
  <sheetData>
    <row r="3" spans="1:20" x14ac:dyDescent="0.35">
      <c r="A3" s="2" t="s">
        <v>28</v>
      </c>
      <c r="B3" s="2" t="s">
        <v>27</v>
      </c>
    </row>
    <row r="4" spans="1:20" x14ac:dyDescent="0.35">
      <c r="A4" s="2" t="s">
        <v>25</v>
      </c>
      <c r="B4" t="s">
        <v>7</v>
      </c>
      <c r="C4" t="s">
        <v>8</v>
      </c>
      <c r="D4" t="s">
        <v>9</v>
      </c>
      <c r="E4" t="s">
        <v>10</v>
      </c>
      <c r="F4" t="s">
        <v>11</v>
      </c>
      <c r="G4" t="s">
        <v>12</v>
      </c>
      <c r="H4" t="s">
        <v>13</v>
      </c>
      <c r="I4" t="s">
        <v>14</v>
      </c>
      <c r="J4" t="s">
        <v>15</v>
      </c>
      <c r="K4" t="s">
        <v>16</v>
      </c>
      <c r="L4" t="s">
        <v>17</v>
      </c>
      <c r="M4" t="s">
        <v>18</v>
      </c>
      <c r="N4" t="s">
        <v>19</v>
      </c>
      <c r="O4" t="s">
        <v>20</v>
      </c>
      <c r="P4" t="s">
        <v>21</v>
      </c>
      <c r="Q4" t="s">
        <v>22</v>
      </c>
      <c r="R4" t="s">
        <v>23</v>
      </c>
      <c r="S4" t="s">
        <v>24</v>
      </c>
      <c r="T4" t="s">
        <v>26</v>
      </c>
    </row>
    <row r="5" spans="1:20" x14ac:dyDescent="0.35">
      <c r="A5" s="3" t="s">
        <v>39</v>
      </c>
      <c r="B5" s="1">
        <v>7523351</v>
      </c>
      <c r="C5" s="1">
        <v>2073464.94</v>
      </c>
      <c r="D5" s="1">
        <v>5487968.7999999998</v>
      </c>
      <c r="E5" s="1">
        <v>1611460</v>
      </c>
      <c r="F5" s="1">
        <v>5080124.99</v>
      </c>
      <c r="G5" s="1">
        <v>895695</v>
      </c>
      <c r="H5" s="1">
        <v>4827256</v>
      </c>
      <c r="I5" s="1">
        <v>3982283</v>
      </c>
      <c r="J5" s="1">
        <v>2664425</v>
      </c>
      <c r="K5" s="1">
        <v>2709720</v>
      </c>
      <c r="L5" s="1">
        <v>3871300</v>
      </c>
      <c r="M5" s="1">
        <v>3882995</v>
      </c>
      <c r="N5" s="1">
        <v>1008620</v>
      </c>
      <c r="O5" s="1">
        <v>6449250</v>
      </c>
      <c r="P5" s="1">
        <v>385235</v>
      </c>
      <c r="Q5" s="1">
        <v>7510754.1500000004</v>
      </c>
      <c r="R5" s="1">
        <v>3498961</v>
      </c>
      <c r="S5" s="1">
        <v>196800</v>
      </c>
      <c r="T5" s="1">
        <v>63659663.879999995</v>
      </c>
    </row>
    <row r="6" spans="1:20" x14ac:dyDescent="0.35">
      <c r="A6" s="3" t="s">
        <v>40</v>
      </c>
      <c r="B6" s="1">
        <v>3179702.7</v>
      </c>
      <c r="C6" s="1">
        <v>2962986</v>
      </c>
      <c r="D6" s="1">
        <v>1735685</v>
      </c>
      <c r="E6" s="1">
        <v>2465753</v>
      </c>
      <c r="F6" s="1">
        <v>1859820</v>
      </c>
      <c r="G6" s="1">
        <v>1470844</v>
      </c>
      <c r="H6" s="1">
        <v>2129180</v>
      </c>
      <c r="I6" s="1">
        <v>2984166</v>
      </c>
      <c r="J6" s="1">
        <v>1850583</v>
      </c>
      <c r="K6" s="1">
        <v>2365490</v>
      </c>
      <c r="L6" s="1">
        <v>2246749</v>
      </c>
      <c r="M6" s="1">
        <v>2724951</v>
      </c>
      <c r="N6" s="1">
        <v>978915</v>
      </c>
      <c r="O6" s="1">
        <v>3862805</v>
      </c>
      <c r="P6" s="1">
        <v>320782</v>
      </c>
      <c r="Q6" s="1">
        <v>3488608.1399999992</v>
      </c>
      <c r="R6" s="1">
        <v>2648733</v>
      </c>
      <c r="S6" s="1"/>
      <c r="T6" s="1">
        <v>39275752.839999996</v>
      </c>
    </row>
    <row r="7" spans="1:20" x14ac:dyDescent="0.35">
      <c r="A7" s="3" t="s">
        <v>41</v>
      </c>
      <c r="B7" s="1"/>
      <c r="C7" s="1">
        <v>2647159</v>
      </c>
      <c r="D7" s="1"/>
      <c r="E7" s="1">
        <v>527860</v>
      </c>
      <c r="F7" s="1">
        <v>2076905</v>
      </c>
      <c r="G7" s="1">
        <v>276165</v>
      </c>
      <c r="H7" s="1">
        <v>2187325</v>
      </c>
      <c r="I7" s="1">
        <v>2686355</v>
      </c>
      <c r="J7" s="1">
        <v>1797550</v>
      </c>
      <c r="K7" s="1">
        <v>2300450</v>
      </c>
      <c r="L7" s="1">
        <v>2377075</v>
      </c>
      <c r="M7" s="1">
        <v>2354166</v>
      </c>
      <c r="N7" s="1">
        <v>202420</v>
      </c>
      <c r="O7" s="1">
        <v>3165685</v>
      </c>
      <c r="P7" s="1">
        <v>75290</v>
      </c>
      <c r="Q7" s="1">
        <v>359000.29000000027</v>
      </c>
      <c r="R7" s="1">
        <v>2437358</v>
      </c>
      <c r="S7" s="1"/>
      <c r="T7" s="1">
        <v>25470763.289999999</v>
      </c>
    </row>
    <row r="8" spans="1:20" x14ac:dyDescent="0.35">
      <c r="A8" s="3" t="s">
        <v>42</v>
      </c>
      <c r="B8" s="1">
        <v>3577391</v>
      </c>
      <c r="C8" s="1">
        <v>3630299</v>
      </c>
      <c r="D8" s="1"/>
      <c r="E8" s="1"/>
      <c r="F8" s="1">
        <v>2286780</v>
      </c>
      <c r="G8" s="1"/>
      <c r="H8" s="1">
        <v>2379143</v>
      </c>
      <c r="I8" s="1">
        <v>1516311</v>
      </c>
      <c r="J8" s="1">
        <v>2845909</v>
      </c>
      <c r="K8" s="1">
        <v>1462590</v>
      </c>
      <c r="L8" s="1">
        <v>1620140</v>
      </c>
      <c r="M8" s="1">
        <v>2684360</v>
      </c>
      <c r="N8" s="1"/>
      <c r="O8" s="1">
        <v>3610485</v>
      </c>
      <c r="P8" s="1"/>
      <c r="Q8" s="1">
        <v>705558.57999999938</v>
      </c>
      <c r="R8" s="1">
        <v>2834058</v>
      </c>
      <c r="S8" s="1"/>
      <c r="T8" s="1">
        <v>29153024.579999998</v>
      </c>
    </row>
    <row r="9" spans="1:20" x14ac:dyDescent="0.35">
      <c r="A9" s="3" t="s">
        <v>43</v>
      </c>
      <c r="B9" s="1">
        <v>4423701</v>
      </c>
      <c r="C9" s="1">
        <v>4849024</v>
      </c>
      <c r="D9" s="1"/>
      <c r="E9" s="1"/>
      <c r="F9" s="1">
        <v>2165195</v>
      </c>
      <c r="G9" s="1"/>
      <c r="H9" s="1">
        <v>2361365</v>
      </c>
      <c r="I9" s="1">
        <v>1820764</v>
      </c>
      <c r="J9" s="1">
        <v>2647020</v>
      </c>
      <c r="K9" s="1">
        <v>2242835</v>
      </c>
      <c r="L9" s="1">
        <v>1804331</v>
      </c>
      <c r="M9" s="1">
        <v>2452005</v>
      </c>
      <c r="N9" s="1"/>
      <c r="O9" s="1">
        <v>3802280</v>
      </c>
      <c r="P9" s="1"/>
      <c r="Q9" s="1">
        <v>366364.6999999999</v>
      </c>
      <c r="R9" s="1">
        <v>3126763</v>
      </c>
      <c r="S9" s="1"/>
      <c r="T9" s="1">
        <v>32061647.699999999</v>
      </c>
    </row>
    <row r="10" spans="1:20" x14ac:dyDescent="0.35">
      <c r="A10" s="3" t="s">
        <v>44</v>
      </c>
      <c r="B10" s="1">
        <v>2773682</v>
      </c>
      <c r="C10" s="1">
        <v>2438467</v>
      </c>
      <c r="D10" s="1"/>
      <c r="E10" s="1"/>
      <c r="F10" s="1">
        <v>1550850</v>
      </c>
      <c r="G10" s="1"/>
      <c r="H10" s="1">
        <v>1704910</v>
      </c>
      <c r="I10" s="1">
        <v>1842641</v>
      </c>
      <c r="J10" s="1">
        <v>1391570</v>
      </c>
      <c r="K10" s="1">
        <v>1365810</v>
      </c>
      <c r="L10" s="1">
        <v>1218640</v>
      </c>
      <c r="M10" s="1">
        <v>1668087</v>
      </c>
      <c r="N10" s="1"/>
      <c r="O10" s="1">
        <v>2498220</v>
      </c>
      <c r="P10" s="1"/>
      <c r="Q10" s="1">
        <v>199906.51000000004</v>
      </c>
      <c r="R10" s="1">
        <v>2119346</v>
      </c>
      <c r="S10" s="1"/>
      <c r="T10" s="1">
        <v>20772129.510000002</v>
      </c>
    </row>
    <row r="11" spans="1:20" x14ac:dyDescent="0.35">
      <c r="A11" s="3" t="s">
        <v>45</v>
      </c>
      <c r="B11" s="1">
        <v>1807820</v>
      </c>
      <c r="C11" s="1">
        <v>2235970</v>
      </c>
      <c r="D11" s="1">
        <v>1141560</v>
      </c>
      <c r="E11" s="1"/>
      <c r="F11" s="1">
        <v>1180500</v>
      </c>
      <c r="G11" s="1"/>
      <c r="H11" s="1">
        <v>1822722</v>
      </c>
      <c r="I11" s="1">
        <v>1519037</v>
      </c>
      <c r="J11" s="1">
        <v>1152750</v>
      </c>
      <c r="K11" s="1">
        <v>927215</v>
      </c>
      <c r="L11" s="1">
        <v>1410468</v>
      </c>
      <c r="M11" s="1">
        <v>1440420</v>
      </c>
      <c r="N11" s="1"/>
      <c r="O11" s="1">
        <v>1843320</v>
      </c>
      <c r="P11" s="1"/>
      <c r="Q11" s="1">
        <v>266577.81000000011</v>
      </c>
      <c r="R11" s="1">
        <v>1475297</v>
      </c>
      <c r="S11" s="1"/>
      <c r="T11" s="1">
        <v>18223656.810000002</v>
      </c>
    </row>
    <row r="12" spans="1:20" x14ac:dyDescent="0.35">
      <c r="A12" s="3" t="s">
        <v>46</v>
      </c>
      <c r="B12" s="1">
        <v>2010867</v>
      </c>
      <c r="C12" s="1">
        <v>2900660</v>
      </c>
      <c r="D12" s="1">
        <v>1194812</v>
      </c>
      <c r="E12" s="1"/>
      <c r="F12" s="1">
        <v>1362815</v>
      </c>
      <c r="G12" s="1"/>
      <c r="H12" s="1">
        <v>1484339</v>
      </c>
      <c r="I12" s="1">
        <v>1658296</v>
      </c>
      <c r="J12" s="1">
        <v>1252938</v>
      </c>
      <c r="K12" s="1">
        <v>971095</v>
      </c>
      <c r="L12" s="1">
        <v>1303100</v>
      </c>
      <c r="M12" s="1">
        <v>1793020</v>
      </c>
      <c r="N12" s="1"/>
      <c r="O12" s="1">
        <v>1778245</v>
      </c>
      <c r="P12" s="1"/>
      <c r="Q12" s="1">
        <v>281263.91999999987</v>
      </c>
      <c r="R12" s="1">
        <v>1388511</v>
      </c>
      <c r="S12" s="1"/>
      <c r="T12" s="1">
        <v>19379961.919999998</v>
      </c>
    </row>
    <row r="13" spans="1:20" x14ac:dyDescent="0.35">
      <c r="A13" s="3" t="s">
        <v>47</v>
      </c>
      <c r="B13" s="1">
        <v>2001533</v>
      </c>
      <c r="C13" s="1">
        <v>2994530.8</v>
      </c>
      <c r="D13" s="1">
        <v>2213860.5</v>
      </c>
      <c r="E13" s="1"/>
      <c r="F13" s="1">
        <v>1182282</v>
      </c>
      <c r="G13" s="1"/>
      <c r="H13" s="1">
        <v>2136445</v>
      </c>
      <c r="I13" s="1">
        <v>2393485</v>
      </c>
      <c r="J13" s="1">
        <v>1796990</v>
      </c>
      <c r="K13" s="1">
        <v>1287820</v>
      </c>
      <c r="L13" s="1">
        <v>1154971</v>
      </c>
      <c r="M13" s="1">
        <v>1624852</v>
      </c>
      <c r="N13" s="1"/>
      <c r="O13" s="1">
        <v>2398340</v>
      </c>
      <c r="P13" s="1"/>
      <c r="Q13" s="1">
        <v>283844.36999999994</v>
      </c>
      <c r="R13" s="1">
        <v>2860385</v>
      </c>
      <c r="S13" s="1"/>
      <c r="T13" s="1">
        <v>24329338.670000002</v>
      </c>
    </row>
    <row r="14" spans="1:20" x14ac:dyDescent="0.35">
      <c r="A14" s="3" t="s">
        <v>48</v>
      </c>
      <c r="B14" s="1">
        <v>3081978</v>
      </c>
      <c r="C14" s="1">
        <v>4902284</v>
      </c>
      <c r="D14" s="1">
        <v>3357326.25</v>
      </c>
      <c r="E14" s="1"/>
      <c r="F14" s="1">
        <v>2071220</v>
      </c>
      <c r="G14" s="1"/>
      <c r="H14" s="1">
        <v>2691868</v>
      </c>
      <c r="I14" s="1">
        <v>2764498</v>
      </c>
      <c r="J14" s="1">
        <v>2118183</v>
      </c>
      <c r="K14" s="1">
        <v>1782760</v>
      </c>
      <c r="L14" s="1">
        <v>2794453</v>
      </c>
      <c r="M14" s="1">
        <v>2225058</v>
      </c>
      <c r="N14" s="1"/>
      <c r="O14" s="1">
        <v>3729900</v>
      </c>
      <c r="P14" s="1"/>
      <c r="Q14" s="1">
        <v>1318817.3499999996</v>
      </c>
      <c r="R14" s="1">
        <v>2793779.5</v>
      </c>
      <c r="S14" s="1"/>
      <c r="T14" s="1">
        <v>35632125.100000001</v>
      </c>
    </row>
    <row r="15" spans="1:20" x14ac:dyDescent="0.35">
      <c r="A15" s="3" t="s">
        <v>49</v>
      </c>
      <c r="B15" s="1">
        <v>1664317</v>
      </c>
      <c r="C15" s="1">
        <v>1681494</v>
      </c>
      <c r="D15" s="1">
        <v>2509419</v>
      </c>
      <c r="E15" s="1"/>
      <c r="F15" s="1">
        <v>1368375</v>
      </c>
      <c r="G15" s="1"/>
      <c r="H15" s="1">
        <v>2289656</v>
      </c>
      <c r="I15" s="1">
        <v>1909045</v>
      </c>
      <c r="J15" s="1">
        <v>1038682</v>
      </c>
      <c r="K15" s="1">
        <v>1540815</v>
      </c>
      <c r="L15" s="1">
        <v>1503965</v>
      </c>
      <c r="M15" s="1">
        <v>1228540</v>
      </c>
      <c r="N15" s="1"/>
      <c r="O15" s="1">
        <v>2022695</v>
      </c>
      <c r="P15" s="1"/>
      <c r="Q15" s="1">
        <v>214139.21</v>
      </c>
      <c r="R15" s="1">
        <v>1253686.05</v>
      </c>
      <c r="S15" s="1"/>
      <c r="T15" s="1">
        <v>20224828.260000002</v>
      </c>
    </row>
    <row r="16" spans="1:20" x14ac:dyDescent="0.35">
      <c r="A16" s="3" t="s">
        <v>50</v>
      </c>
      <c r="B16" s="1">
        <v>1774468</v>
      </c>
      <c r="C16" s="1">
        <v>2524278</v>
      </c>
      <c r="D16" s="1">
        <v>2286757.5</v>
      </c>
      <c r="E16" s="1"/>
      <c r="F16" s="1">
        <v>1868895</v>
      </c>
      <c r="G16" s="1"/>
      <c r="H16" s="1">
        <v>2335362</v>
      </c>
      <c r="I16" s="1">
        <v>2175756.5</v>
      </c>
      <c r="J16" s="1">
        <v>1301523</v>
      </c>
      <c r="K16" s="1">
        <v>1631860</v>
      </c>
      <c r="L16" s="1">
        <v>2190271</v>
      </c>
      <c r="M16" s="1">
        <v>2229975</v>
      </c>
      <c r="N16" s="1"/>
      <c r="O16" s="1">
        <v>2188330</v>
      </c>
      <c r="P16" s="1"/>
      <c r="Q16" s="1">
        <v>227372.79</v>
      </c>
      <c r="R16" s="1">
        <v>1641887</v>
      </c>
      <c r="S16" s="1"/>
      <c r="T16" s="1">
        <v>24376735.789999999</v>
      </c>
    </row>
    <row r="17" spans="1:20" x14ac:dyDescent="0.35">
      <c r="A17" s="3" t="s">
        <v>26</v>
      </c>
      <c r="B17" s="1">
        <v>33818810.700000003</v>
      </c>
      <c r="C17" s="1">
        <v>35840616.739999995</v>
      </c>
      <c r="D17" s="1">
        <v>19927389.050000001</v>
      </c>
      <c r="E17" s="1">
        <v>4605073</v>
      </c>
      <c r="F17" s="1">
        <v>24053761.990000002</v>
      </c>
      <c r="G17" s="1">
        <v>2642704</v>
      </c>
      <c r="H17" s="1">
        <v>28349571</v>
      </c>
      <c r="I17" s="1">
        <v>27252637.5</v>
      </c>
      <c r="J17" s="1">
        <v>21858123</v>
      </c>
      <c r="K17" s="1">
        <v>20588460</v>
      </c>
      <c r="L17" s="1">
        <v>23495463</v>
      </c>
      <c r="M17" s="1">
        <v>26308429</v>
      </c>
      <c r="N17" s="1">
        <v>2189955</v>
      </c>
      <c r="O17" s="1">
        <v>37349555</v>
      </c>
      <c r="P17" s="1">
        <v>781307</v>
      </c>
      <c r="Q17" s="1">
        <v>15222207.819999998</v>
      </c>
      <c r="R17" s="1">
        <v>28078764.550000001</v>
      </c>
      <c r="S17" s="1">
        <v>196800</v>
      </c>
      <c r="T17" s="1">
        <v>352559628.34999996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55F21-B92E-408A-B4E8-C44DE1EA8D80}">
  <dimension ref="A1:I189"/>
  <sheetViews>
    <sheetView topLeftCell="C1" workbookViewId="0">
      <selection activeCell="D190" sqref="D190"/>
    </sheetView>
  </sheetViews>
  <sheetFormatPr defaultRowHeight="14.5" x14ac:dyDescent="0.35"/>
  <cols>
    <col min="1" max="1" width="14.6328125" bestFit="1" customWidth="1"/>
    <col min="2" max="2" width="11" bestFit="1" customWidth="1"/>
    <col min="3" max="3" width="13" bestFit="1" customWidth="1"/>
    <col min="4" max="4" width="10.81640625" bestFit="1" customWidth="1"/>
    <col min="5" max="5" width="13.1796875" bestFit="1" customWidth="1"/>
    <col min="6" max="6" width="18.54296875" bestFit="1" customWidth="1"/>
    <col min="7" max="7" width="22.08984375" bestFit="1" customWidth="1"/>
    <col min="8" max="8" width="18.26953125" customWidth="1"/>
    <col min="9" max="9" width="13.08984375" customWidth="1"/>
  </cols>
  <sheetData>
    <row r="1" spans="1:9" x14ac:dyDescent="0.35">
      <c r="A1" t="s">
        <v>0</v>
      </c>
      <c r="B1" t="s">
        <v>1</v>
      </c>
      <c r="C1" t="s">
        <v>2</v>
      </c>
      <c r="D1" t="s">
        <v>3</v>
      </c>
      <c r="E1" t="s">
        <v>4</v>
      </c>
      <c r="F1" t="s">
        <v>5</v>
      </c>
      <c r="G1" t="s">
        <v>6</v>
      </c>
      <c r="H1" t="s">
        <v>38</v>
      </c>
      <c r="I1" t="s">
        <v>52</v>
      </c>
    </row>
    <row r="2" spans="1:9" x14ac:dyDescent="0.35">
      <c r="A2" s="1" t="s">
        <v>7</v>
      </c>
      <c r="B2">
        <v>2025</v>
      </c>
      <c r="C2">
        <v>1</v>
      </c>
      <c r="D2">
        <v>1346412</v>
      </c>
      <c r="E2">
        <v>3472.6600000000003</v>
      </c>
      <c r="F2">
        <v>250</v>
      </c>
      <c r="G2">
        <v>5385.65</v>
      </c>
      <c r="H2" t="str">
        <f t="shared" ref="H2:H33" si="0">TEXT(DATE(2025,C2,1),"mmmm")</f>
        <v>January</v>
      </c>
      <c r="I2" t="s">
        <v>51</v>
      </c>
    </row>
    <row r="3" spans="1:9" x14ac:dyDescent="0.35">
      <c r="A3" s="1" t="s">
        <v>7</v>
      </c>
      <c r="B3">
        <v>2025</v>
      </c>
      <c r="C3">
        <v>2</v>
      </c>
      <c r="D3">
        <v>2159513.7000000002</v>
      </c>
      <c r="E3">
        <v>7094.708000000006</v>
      </c>
      <c r="F3">
        <v>367</v>
      </c>
      <c r="G3">
        <v>5884.23</v>
      </c>
      <c r="H3" t="str">
        <f t="shared" si="0"/>
        <v>February</v>
      </c>
    </row>
    <row r="4" spans="1:9" x14ac:dyDescent="0.35">
      <c r="A4" s="1" t="s">
        <v>7</v>
      </c>
      <c r="B4">
        <v>2025</v>
      </c>
      <c r="C4">
        <v>1</v>
      </c>
      <c r="D4">
        <v>2663894</v>
      </c>
      <c r="E4">
        <v>7277.4700000000075</v>
      </c>
      <c r="F4">
        <v>494</v>
      </c>
      <c r="G4">
        <v>5392.5</v>
      </c>
      <c r="H4" t="str">
        <f t="shared" si="0"/>
        <v>January</v>
      </c>
    </row>
    <row r="5" spans="1:9" x14ac:dyDescent="0.35">
      <c r="A5" s="1" t="s">
        <v>7</v>
      </c>
      <c r="B5">
        <v>2025</v>
      </c>
      <c r="C5">
        <v>4</v>
      </c>
      <c r="D5">
        <v>3577391</v>
      </c>
      <c r="E5">
        <v>9107.4060000000118</v>
      </c>
      <c r="F5">
        <v>501</v>
      </c>
      <c r="G5">
        <v>7140.5</v>
      </c>
      <c r="H5" t="str">
        <f t="shared" si="0"/>
        <v>April</v>
      </c>
    </row>
    <row r="6" spans="1:9" x14ac:dyDescent="0.35">
      <c r="A6" s="1" t="s">
        <v>7</v>
      </c>
      <c r="B6">
        <v>2025</v>
      </c>
      <c r="C6">
        <v>5</v>
      </c>
      <c r="D6">
        <v>4423701</v>
      </c>
      <c r="E6">
        <v>11274.420000000015</v>
      </c>
      <c r="F6">
        <v>656</v>
      </c>
      <c r="G6">
        <v>6743.45</v>
      </c>
      <c r="H6" t="str">
        <f t="shared" si="0"/>
        <v>May</v>
      </c>
    </row>
    <row r="7" spans="1:9" x14ac:dyDescent="0.35">
      <c r="A7" s="1" t="s">
        <v>7</v>
      </c>
      <c r="B7">
        <v>2025</v>
      </c>
      <c r="C7">
        <v>6</v>
      </c>
      <c r="D7">
        <v>2773682</v>
      </c>
      <c r="E7">
        <v>7061.5000000000064</v>
      </c>
      <c r="F7">
        <v>407</v>
      </c>
      <c r="G7">
        <v>6814.94</v>
      </c>
      <c r="H7" t="str">
        <f t="shared" si="0"/>
        <v>June</v>
      </c>
    </row>
    <row r="8" spans="1:9" x14ac:dyDescent="0.35">
      <c r="A8" s="1" t="s">
        <v>7</v>
      </c>
      <c r="B8">
        <v>2025</v>
      </c>
      <c r="C8">
        <v>7</v>
      </c>
      <c r="D8">
        <v>1807820</v>
      </c>
      <c r="E8">
        <v>4692.5899999999992</v>
      </c>
      <c r="F8">
        <v>311</v>
      </c>
      <c r="G8">
        <v>5812.93</v>
      </c>
      <c r="H8" t="str">
        <f t="shared" si="0"/>
        <v>July</v>
      </c>
    </row>
    <row r="9" spans="1:9" x14ac:dyDescent="0.35">
      <c r="A9" s="1" t="s">
        <v>7</v>
      </c>
      <c r="B9">
        <v>2025</v>
      </c>
      <c r="C9">
        <v>8</v>
      </c>
      <c r="D9">
        <v>2010867</v>
      </c>
      <c r="E9">
        <v>6938.0900000000011</v>
      </c>
      <c r="F9">
        <v>360</v>
      </c>
      <c r="G9">
        <v>5585.74</v>
      </c>
      <c r="H9" t="str">
        <f t="shared" si="0"/>
        <v>August</v>
      </c>
    </row>
    <row r="10" spans="1:9" x14ac:dyDescent="0.35">
      <c r="A10" s="1" t="s">
        <v>7</v>
      </c>
      <c r="B10">
        <v>2025</v>
      </c>
      <c r="C10">
        <v>9</v>
      </c>
      <c r="D10">
        <v>2001533</v>
      </c>
      <c r="E10">
        <v>5486.480000000005</v>
      </c>
      <c r="F10">
        <v>361</v>
      </c>
      <c r="G10">
        <v>5544.41</v>
      </c>
      <c r="H10" t="str">
        <f t="shared" si="0"/>
        <v>September</v>
      </c>
    </row>
    <row r="11" spans="1:9" x14ac:dyDescent="0.35">
      <c r="A11" s="1" t="s">
        <v>7</v>
      </c>
      <c r="B11">
        <v>2025</v>
      </c>
      <c r="C11">
        <v>10</v>
      </c>
      <c r="D11">
        <v>3081978</v>
      </c>
      <c r="E11">
        <v>10263.260000000007</v>
      </c>
      <c r="F11">
        <v>432</v>
      </c>
      <c r="G11">
        <v>7134.21</v>
      </c>
      <c r="H11" t="str">
        <f t="shared" si="0"/>
        <v>October</v>
      </c>
    </row>
    <row r="12" spans="1:9" x14ac:dyDescent="0.35">
      <c r="A12" s="1" t="s">
        <v>7</v>
      </c>
      <c r="B12">
        <v>2025</v>
      </c>
      <c r="C12">
        <v>11</v>
      </c>
      <c r="D12">
        <v>1664317</v>
      </c>
      <c r="E12">
        <v>4508.239999999998</v>
      </c>
      <c r="F12">
        <v>300</v>
      </c>
      <c r="G12">
        <v>5547.72</v>
      </c>
      <c r="H12" t="str">
        <f t="shared" si="0"/>
        <v>November</v>
      </c>
    </row>
    <row r="13" spans="1:9" x14ac:dyDescent="0.35">
      <c r="A13" s="1" t="s">
        <v>7</v>
      </c>
      <c r="B13">
        <v>2025</v>
      </c>
      <c r="C13">
        <v>12</v>
      </c>
      <c r="D13">
        <v>1774468</v>
      </c>
      <c r="E13">
        <v>11204.5</v>
      </c>
      <c r="F13">
        <v>328</v>
      </c>
      <c r="G13">
        <v>5409.96</v>
      </c>
      <c r="H13" t="str">
        <f t="shared" si="0"/>
        <v>December</v>
      </c>
    </row>
    <row r="14" spans="1:9" x14ac:dyDescent="0.35">
      <c r="A14" s="1" t="s">
        <v>7</v>
      </c>
      <c r="B14">
        <v>2026</v>
      </c>
      <c r="C14">
        <v>1</v>
      </c>
      <c r="D14">
        <v>3513045</v>
      </c>
      <c r="E14">
        <v>61897.69000000001</v>
      </c>
      <c r="F14">
        <v>471</v>
      </c>
      <c r="G14">
        <v>7458.69</v>
      </c>
      <c r="H14" t="str">
        <f t="shared" si="0"/>
        <v>January</v>
      </c>
    </row>
    <row r="15" spans="1:9" x14ac:dyDescent="0.35">
      <c r="A15" s="1" t="s">
        <v>7</v>
      </c>
      <c r="B15">
        <v>2026</v>
      </c>
      <c r="C15">
        <v>2</v>
      </c>
      <c r="D15">
        <v>1020189</v>
      </c>
      <c r="E15">
        <v>3803.0699999999974</v>
      </c>
      <c r="F15">
        <v>164</v>
      </c>
      <c r="G15">
        <v>6220.66</v>
      </c>
      <c r="H15" t="str">
        <f t="shared" si="0"/>
        <v>February</v>
      </c>
    </row>
    <row r="16" spans="1:9" x14ac:dyDescent="0.35">
      <c r="A16" s="1" t="s">
        <v>8</v>
      </c>
      <c r="B16">
        <v>2025</v>
      </c>
      <c r="C16">
        <v>1</v>
      </c>
      <c r="D16">
        <v>969242</v>
      </c>
      <c r="E16">
        <v>2455.838999999999</v>
      </c>
      <c r="F16">
        <v>176</v>
      </c>
      <c r="G16">
        <v>5507.06</v>
      </c>
      <c r="H16" t="str">
        <f t="shared" si="0"/>
        <v>January</v>
      </c>
    </row>
    <row r="17" spans="1:8" x14ac:dyDescent="0.35">
      <c r="A17" s="1" t="s">
        <v>8</v>
      </c>
      <c r="B17">
        <v>2025</v>
      </c>
      <c r="C17">
        <v>2</v>
      </c>
      <c r="D17">
        <v>2962986</v>
      </c>
      <c r="E17">
        <v>8751.5279999999984</v>
      </c>
      <c r="F17">
        <v>373</v>
      </c>
      <c r="G17">
        <v>7943.66</v>
      </c>
      <c r="H17" t="str">
        <f t="shared" si="0"/>
        <v>February</v>
      </c>
    </row>
    <row r="18" spans="1:8" x14ac:dyDescent="0.35">
      <c r="A18" s="1" t="s">
        <v>8</v>
      </c>
      <c r="B18">
        <v>2025</v>
      </c>
      <c r="C18">
        <v>3</v>
      </c>
      <c r="D18">
        <v>2647159</v>
      </c>
      <c r="E18">
        <v>7937.2300000000087</v>
      </c>
      <c r="F18">
        <v>394</v>
      </c>
      <c r="G18">
        <v>6718.68</v>
      </c>
      <c r="H18" t="str">
        <f t="shared" si="0"/>
        <v>March</v>
      </c>
    </row>
    <row r="19" spans="1:8" x14ac:dyDescent="0.35">
      <c r="A19" s="1" t="s">
        <v>8</v>
      </c>
      <c r="B19">
        <v>2025</v>
      </c>
      <c r="C19">
        <v>4</v>
      </c>
      <c r="D19">
        <v>3630299</v>
      </c>
      <c r="E19">
        <v>13502.050000000003</v>
      </c>
      <c r="F19">
        <v>471</v>
      </c>
      <c r="G19">
        <v>7707.64</v>
      </c>
      <c r="H19" t="str">
        <f t="shared" si="0"/>
        <v>April</v>
      </c>
    </row>
    <row r="20" spans="1:8" x14ac:dyDescent="0.35">
      <c r="A20" s="1" t="s">
        <v>8</v>
      </c>
      <c r="B20">
        <v>2025</v>
      </c>
      <c r="C20">
        <v>5</v>
      </c>
      <c r="D20">
        <v>4849024</v>
      </c>
      <c r="E20">
        <v>15474.140000000014</v>
      </c>
      <c r="F20">
        <v>537</v>
      </c>
      <c r="G20">
        <v>9029.84</v>
      </c>
      <c r="H20" t="str">
        <f t="shared" si="0"/>
        <v>May</v>
      </c>
    </row>
    <row r="21" spans="1:8" x14ac:dyDescent="0.35">
      <c r="A21" s="1" t="s">
        <v>8</v>
      </c>
      <c r="B21">
        <v>2025</v>
      </c>
      <c r="C21">
        <v>6</v>
      </c>
      <c r="D21">
        <v>2438467</v>
      </c>
      <c r="E21">
        <v>7180.520000000005</v>
      </c>
      <c r="F21">
        <v>343</v>
      </c>
      <c r="G21">
        <v>7109.23</v>
      </c>
      <c r="H21" t="str">
        <f t="shared" si="0"/>
        <v>June</v>
      </c>
    </row>
    <row r="22" spans="1:8" x14ac:dyDescent="0.35">
      <c r="A22" s="1" t="s">
        <v>8</v>
      </c>
      <c r="B22">
        <v>2025</v>
      </c>
      <c r="C22">
        <v>7</v>
      </c>
      <c r="D22">
        <v>2235970</v>
      </c>
      <c r="E22">
        <v>5860.3600000000015</v>
      </c>
      <c r="F22">
        <v>247</v>
      </c>
      <c r="G22">
        <v>9052.51</v>
      </c>
      <c r="H22" t="str">
        <f t="shared" si="0"/>
        <v>July</v>
      </c>
    </row>
    <row r="23" spans="1:8" x14ac:dyDescent="0.35">
      <c r="A23" s="1" t="s">
        <v>8</v>
      </c>
      <c r="B23">
        <v>2025</v>
      </c>
      <c r="C23">
        <v>8</v>
      </c>
      <c r="D23">
        <v>2900660</v>
      </c>
      <c r="E23">
        <v>8341.8199999999906</v>
      </c>
      <c r="F23">
        <v>253</v>
      </c>
      <c r="G23">
        <v>11465.06</v>
      </c>
      <c r="H23" t="str">
        <f t="shared" si="0"/>
        <v>August</v>
      </c>
    </row>
    <row r="24" spans="1:8" x14ac:dyDescent="0.35">
      <c r="A24" s="1" t="s">
        <v>8</v>
      </c>
      <c r="B24">
        <v>2025</v>
      </c>
      <c r="C24">
        <v>9</v>
      </c>
      <c r="D24">
        <v>2994530.8</v>
      </c>
      <c r="E24">
        <v>7991.6800000000085</v>
      </c>
      <c r="F24">
        <v>370</v>
      </c>
      <c r="G24">
        <v>8093.33</v>
      </c>
      <c r="H24" t="str">
        <f t="shared" si="0"/>
        <v>September</v>
      </c>
    </row>
    <row r="25" spans="1:8" x14ac:dyDescent="0.35">
      <c r="A25" s="1" t="s">
        <v>8</v>
      </c>
      <c r="B25">
        <v>2025</v>
      </c>
      <c r="C25">
        <v>10</v>
      </c>
      <c r="D25">
        <v>4902284</v>
      </c>
      <c r="E25">
        <v>50366.540999999983</v>
      </c>
      <c r="F25">
        <v>492</v>
      </c>
      <c r="G25">
        <v>9963.99</v>
      </c>
      <c r="H25" t="str">
        <f t="shared" si="0"/>
        <v>October</v>
      </c>
    </row>
    <row r="26" spans="1:8" x14ac:dyDescent="0.35">
      <c r="A26" s="1" t="s">
        <v>8</v>
      </c>
      <c r="B26">
        <v>2025</v>
      </c>
      <c r="C26">
        <v>11</v>
      </c>
      <c r="D26">
        <v>1681494</v>
      </c>
      <c r="E26">
        <v>7355.1850000000095</v>
      </c>
      <c r="F26">
        <v>310</v>
      </c>
      <c r="G26">
        <v>5424.17</v>
      </c>
      <c r="H26" t="str">
        <f t="shared" si="0"/>
        <v>November</v>
      </c>
    </row>
    <row r="27" spans="1:8" x14ac:dyDescent="0.35">
      <c r="A27" s="1" t="s">
        <v>8</v>
      </c>
      <c r="B27">
        <v>2025</v>
      </c>
      <c r="C27">
        <v>12</v>
      </c>
      <c r="D27">
        <v>2524278</v>
      </c>
      <c r="E27">
        <v>25016.399999999998</v>
      </c>
      <c r="F27">
        <v>396</v>
      </c>
      <c r="G27">
        <v>6374.44</v>
      </c>
      <c r="H27" t="str">
        <f t="shared" si="0"/>
        <v>December</v>
      </c>
    </row>
    <row r="28" spans="1:8" x14ac:dyDescent="0.35">
      <c r="A28" s="1" t="s">
        <v>8</v>
      </c>
      <c r="B28">
        <v>2026</v>
      </c>
      <c r="C28">
        <v>1</v>
      </c>
      <c r="D28">
        <v>1104222.94</v>
      </c>
      <c r="E28">
        <v>34874.559999999998</v>
      </c>
      <c r="F28">
        <v>153</v>
      </c>
      <c r="G28">
        <v>7217.14</v>
      </c>
      <c r="H28" t="str">
        <f t="shared" si="0"/>
        <v>January</v>
      </c>
    </row>
    <row r="29" spans="1:8" x14ac:dyDescent="0.35">
      <c r="A29" s="1" t="s">
        <v>9</v>
      </c>
      <c r="B29">
        <v>2025</v>
      </c>
      <c r="C29">
        <v>7</v>
      </c>
      <c r="D29">
        <v>1141560</v>
      </c>
      <c r="E29">
        <v>2808.1299999999997</v>
      </c>
      <c r="F29">
        <v>264</v>
      </c>
      <c r="G29">
        <v>4324.09</v>
      </c>
      <c r="H29" t="str">
        <f t="shared" si="0"/>
        <v>July</v>
      </c>
    </row>
    <row r="30" spans="1:8" x14ac:dyDescent="0.35">
      <c r="A30" s="1" t="s">
        <v>9</v>
      </c>
      <c r="B30">
        <v>2025</v>
      </c>
      <c r="C30">
        <v>8</v>
      </c>
      <c r="D30">
        <v>1194812</v>
      </c>
      <c r="E30">
        <v>2886.809999999999</v>
      </c>
      <c r="F30">
        <v>314</v>
      </c>
      <c r="G30">
        <v>3805.13</v>
      </c>
      <c r="H30" t="str">
        <f t="shared" si="0"/>
        <v>August</v>
      </c>
    </row>
    <row r="31" spans="1:8" x14ac:dyDescent="0.35">
      <c r="A31" s="1" t="s">
        <v>9</v>
      </c>
      <c r="B31">
        <v>2025</v>
      </c>
      <c r="C31">
        <v>9</v>
      </c>
      <c r="D31">
        <v>2213860.5</v>
      </c>
      <c r="E31">
        <v>5028.0399999999936</v>
      </c>
      <c r="F31">
        <v>446</v>
      </c>
      <c r="G31">
        <v>4963.8100000000004</v>
      </c>
      <c r="H31" t="str">
        <f t="shared" si="0"/>
        <v>September</v>
      </c>
    </row>
    <row r="32" spans="1:8" x14ac:dyDescent="0.35">
      <c r="A32" s="1" t="s">
        <v>9</v>
      </c>
      <c r="B32">
        <v>2025</v>
      </c>
      <c r="C32">
        <v>10</v>
      </c>
      <c r="D32">
        <v>3357326.25</v>
      </c>
      <c r="E32">
        <v>39431.159999999974</v>
      </c>
      <c r="F32">
        <v>614</v>
      </c>
      <c r="G32">
        <v>5467.96</v>
      </c>
      <c r="H32" t="str">
        <f t="shared" si="0"/>
        <v>October</v>
      </c>
    </row>
    <row r="33" spans="1:8" x14ac:dyDescent="0.35">
      <c r="A33" s="1" t="s">
        <v>9</v>
      </c>
      <c r="B33">
        <v>2025</v>
      </c>
      <c r="C33">
        <v>11</v>
      </c>
      <c r="D33">
        <v>2509419</v>
      </c>
      <c r="E33">
        <v>5348.930000000003</v>
      </c>
      <c r="F33">
        <v>473</v>
      </c>
      <c r="G33">
        <v>5305.33</v>
      </c>
      <c r="H33" t="str">
        <f t="shared" si="0"/>
        <v>November</v>
      </c>
    </row>
    <row r="34" spans="1:8" x14ac:dyDescent="0.35">
      <c r="A34" s="1" t="s">
        <v>9</v>
      </c>
      <c r="B34">
        <v>2025</v>
      </c>
      <c r="C34">
        <v>12</v>
      </c>
      <c r="D34">
        <v>2286757.5</v>
      </c>
      <c r="E34">
        <v>16737.632999999991</v>
      </c>
      <c r="F34">
        <v>482</v>
      </c>
      <c r="G34">
        <v>4744.3100000000004</v>
      </c>
      <c r="H34" t="str">
        <f t="shared" ref="H34:H65" si="1">TEXT(DATE(2025,C34,1),"mmmm")</f>
        <v>December</v>
      </c>
    </row>
    <row r="35" spans="1:8" x14ac:dyDescent="0.35">
      <c r="A35" s="1" t="s">
        <v>9</v>
      </c>
      <c r="B35">
        <v>2026</v>
      </c>
      <c r="C35">
        <v>1</v>
      </c>
      <c r="D35">
        <v>5487968.7999999998</v>
      </c>
      <c r="E35">
        <v>57033.292999999991</v>
      </c>
      <c r="F35">
        <v>715</v>
      </c>
      <c r="G35">
        <v>7675.48</v>
      </c>
      <c r="H35" t="str">
        <f t="shared" si="1"/>
        <v>January</v>
      </c>
    </row>
    <row r="36" spans="1:8" x14ac:dyDescent="0.35">
      <c r="A36" s="1" t="s">
        <v>9</v>
      </c>
      <c r="B36">
        <v>2026</v>
      </c>
      <c r="C36">
        <v>2</v>
      </c>
      <c r="D36">
        <v>1735685</v>
      </c>
      <c r="E36">
        <v>2998.5199999999991</v>
      </c>
      <c r="F36">
        <v>234</v>
      </c>
      <c r="G36">
        <v>7417.46</v>
      </c>
      <c r="H36" t="str">
        <f t="shared" si="1"/>
        <v>February</v>
      </c>
    </row>
    <row r="37" spans="1:8" x14ac:dyDescent="0.35">
      <c r="A37" s="1" t="s">
        <v>10</v>
      </c>
      <c r="B37">
        <v>2025</v>
      </c>
      <c r="C37">
        <v>1</v>
      </c>
      <c r="D37">
        <v>1611460</v>
      </c>
      <c r="E37">
        <v>3265.3969999999995</v>
      </c>
      <c r="F37">
        <v>365</v>
      </c>
      <c r="G37">
        <v>4414.96</v>
      </c>
      <c r="H37" t="str">
        <f t="shared" si="1"/>
        <v>January</v>
      </c>
    </row>
    <row r="38" spans="1:8" x14ac:dyDescent="0.35">
      <c r="A38" s="1" t="s">
        <v>10</v>
      </c>
      <c r="B38">
        <v>2025</v>
      </c>
      <c r="C38">
        <v>2</v>
      </c>
      <c r="D38">
        <v>2465753</v>
      </c>
      <c r="E38">
        <v>8349.1960000000017</v>
      </c>
      <c r="F38">
        <v>433</v>
      </c>
      <c r="G38">
        <v>5694.58</v>
      </c>
      <c r="H38" t="str">
        <f t="shared" si="1"/>
        <v>February</v>
      </c>
    </row>
    <row r="39" spans="1:8" x14ac:dyDescent="0.35">
      <c r="A39" s="1" t="s">
        <v>10</v>
      </c>
      <c r="B39">
        <v>2025</v>
      </c>
      <c r="C39">
        <v>3</v>
      </c>
      <c r="D39">
        <v>527860</v>
      </c>
      <c r="E39">
        <v>1447.4999999999993</v>
      </c>
      <c r="F39">
        <v>111</v>
      </c>
      <c r="G39">
        <v>4755.5</v>
      </c>
      <c r="H39" t="str">
        <f t="shared" si="1"/>
        <v>March</v>
      </c>
    </row>
    <row r="40" spans="1:8" x14ac:dyDescent="0.35">
      <c r="A40" s="1" t="s">
        <v>11</v>
      </c>
      <c r="B40">
        <v>2025</v>
      </c>
      <c r="C40">
        <v>1</v>
      </c>
      <c r="D40">
        <v>849980</v>
      </c>
      <c r="E40">
        <v>1832.4290000000005</v>
      </c>
      <c r="F40">
        <v>137</v>
      </c>
      <c r="G40">
        <v>6204.23</v>
      </c>
      <c r="H40" t="str">
        <f t="shared" si="1"/>
        <v>January</v>
      </c>
    </row>
    <row r="41" spans="1:8" x14ac:dyDescent="0.35">
      <c r="A41" s="1" t="s">
        <v>11</v>
      </c>
      <c r="B41">
        <v>2025</v>
      </c>
      <c r="C41">
        <v>2</v>
      </c>
      <c r="D41">
        <v>1301285</v>
      </c>
      <c r="E41">
        <v>3345.9510000000018</v>
      </c>
      <c r="F41">
        <v>325</v>
      </c>
      <c r="G41">
        <v>4003.95</v>
      </c>
      <c r="H41" t="str">
        <f t="shared" si="1"/>
        <v>February</v>
      </c>
    </row>
    <row r="42" spans="1:8" x14ac:dyDescent="0.35">
      <c r="A42" s="1" t="s">
        <v>11</v>
      </c>
      <c r="B42">
        <v>2025</v>
      </c>
      <c r="C42">
        <v>3</v>
      </c>
      <c r="D42">
        <v>2076905</v>
      </c>
      <c r="E42">
        <v>7339.5800000000063</v>
      </c>
      <c r="F42">
        <v>425</v>
      </c>
      <c r="G42">
        <v>4886.84</v>
      </c>
      <c r="H42" t="str">
        <f t="shared" si="1"/>
        <v>March</v>
      </c>
    </row>
    <row r="43" spans="1:8" x14ac:dyDescent="0.35">
      <c r="A43" s="1" t="s">
        <v>11</v>
      </c>
      <c r="B43">
        <v>2025</v>
      </c>
      <c r="C43">
        <v>4</v>
      </c>
      <c r="D43">
        <v>2286780</v>
      </c>
      <c r="E43">
        <v>11965.854000000014</v>
      </c>
      <c r="F43">
        <v>380</v>
      </c>
      <c r="G43">
        <v>6017.84</v>
      </c>
      <c r="H43" t="str">
        <f t="shared" si="1"/>
        <v>April</v>
      </c>
    </row>
    <row r="44" spans="1:8" x14ac:dyDescent="0.35">
      <c r="A44" s="1" t="s">
        <v>11</v>
      </c>
      <c r="B44">
        <v>2025</v>
      </c>
      <c r="C44">
        <v>5</v>
      </c>
      <c r="D44">
        <v>2165195</v>
      </c>
      <c r="E44">
        <v>5247.8590000000086</v>
      </c>
      <c r="F44">
        <v>433</v>
      </c>
      <c r="G44">
        <v>5000.45</v>
      </c>
      <c r="H44" t="str">
        <f t="shared" si="1"/>
        <v>May</v>
      </c>
    </row>
    <row r="45" spans="1:8" x14ac:dyDescent="0.35">
      <c r="A45" s="1" t="s">
        <v>11</v>
      </c>
      <c r="B45">
        <v>2025</v>
      </c>
      <c r="C45">
        <v>6</v>
      </c>
      <c r="D45">
        <v>1550850</v>
      </c>
      <c r="E45">
        <v>3584.2300000000018</v>
      </c>
      <c r="F45">
        <v>292</v>
      </c>
      <c r="G45">
        <v>5311.13</v>
      </c>
      <c r="H45" t="str">
        <f t="shared" si="1"/>
        <v>June</v>
      </c>
    </row>
    <row r="46" spans="1:8" x14ac:dyDescent="0.35">
      <c r="A46" s="1" t="s">
        <v>11</v>
      </c>
      <c r="B46">
        <v>2025</v>
      </c>
      <c r="C46">
        <v>7</v>
      </c>
      <c r="D46">
        <v>1180500</v>
      </c>
      <c r="E46">
        <v>2809.9999999999986</v>
      </c>
      <c r="F46">
        <v>275</v>
      </c>
      <c r="G46">
        <v>4292.7299999999996</v>
      </c>
      <c r="H46" t="str">
        <f t="shared" si="1"/>
        <v>July</v>
      </c>
    </row>
    <row r="47" spans="1:8" x14ac:dyDescent="0.35">
      <c r="A47" s="1" t="s">
        <v>11</v>
      </c>
      <c r="B47">
        <v>2025</v>
      </c>
      <c r="C47">
        <v>8</v>
      </c>
      <c r="D47">
        <v>1362815</v>
      </c>
      <c r="E47">
        <v>3181.3799999999983</v>
      </c>
      <c r="F47">
        <v>306</v>
      </c>
      <c r="G47">
        <v>4453.6400000000003</v>
      </c>
      <c r="H47" t="str">
        <f t="shared" si="1"/>
        <v>August</v>
      </c>
    </row>
    <row r="48" spans="1:8" x14ac:dyDescent="0.35">
      <c r="A48" s="1" t="s">
        <v>11</v>
      </c>
      <c r="B48">
        <v>2025</v>
      </c>
      <c r="C48">
        <v>9</v>
      </c>
      <c r="D48">
        <v>1182282</v>
      </c>
      <c r="E48">
        <v>13035.720000000003</v>
      </c>
      <c r="F48">
        <v>310</v>
      </c>
      <c r="G48">
        <v>3813.81</v>
      </c>
      <c r="H48" t="str">
        <f t="shared" si="1"/>
        <v>September</v>
      </c>
    </row>
    <row r="49" spans="1:8" x14ac:dyDescent="0.35">
      <c r="A49" s="1" t="s">
        <v>11</v>
      </c>
      <c r="B49">
        <v>2025</v>
      </c>
      <c r="C49">
        <v>10</v>
      </c>
      <c r="D49">
        <v>2071220</v>
      </c>
      <c r="E49">
        <v>24812.380000000016</v>
      </c>
      <c r="F49">
        <v>370</v>
      </c>
      <c r="G49">
        <v>5597.89</v>
      </c>
      <c r="H49" t="str">
        <f t="shared" si="1"/>
        <v>October</v>
      </c>
    </row>
    <row r="50" spans="1:8" x14ac:dyDescent="0.35">
      <c r="A50" s="1" t="s">
        <v>11</v>
      </c>
      <c r="B50">
        <v>2025</v>
      </c>
      <c r="C50">
        <v>11</v>
      </c>
      <c r="D50">
        <v>1368375</v>
      </c>
      <c r="E50">
        <v>18340.699999999997</v>
      </c>
      <c r="F50">
        <v>309</v>
      </c>
      <c r="G50">
        <v>4428.3999999999996</v>
      </c>
      <c r="H50" t="str">
        <f t="shared" si="1"/>
        <v>November</v>
      </c>
    </row>
    <row r="51" spans="1:8" x14ac:dyDescent="0.35">
      <c r="A51" s="1" t="s">
        <v>11</v>
      </c>
      <c r="B51">
        <v>2025</v>
      </c>
      <c r="C51">
        <v>12</v>
      </c>
      <c r="D51">
        <v>1868895</v>
      </c>
      <c r="E51">
        <v>38391.219999999987</v>
      </c>
      <c r="F51">
        <v>385</v>
      </c>
      <c r="G51">
        <v>4854.2700000000004</v>
      </c>
      <c r="H51" t="str">
        <f t="shared" si="1"/>
        <v>December</v>
      </c>
    </row>
    <row r="52" spans="1:8" x14ac:dyDescent="0.35">
      <c r="A52" s="1" t="s">
        <v>11</v>
      </c>
      <c r="B52">
        <v>2026</v>
      </c>
      <c r="C52">
        <v>1</v>
      </c>
      <c r="D52">
        <v>4230144.99</v>
      </c>
      <c r="E52">
        <v>139522.29000000004</v>
      </c>
      <c r="F52">
        <v>486</v>
      </c>
      <c r="G52">
        <v>8704</v>
      </c>
      <c r="H52" t="str">
        <f t="shared" si="1"/>
        <v>January</v>
      </c>
    </row>
    <row r="53" spans="1:8" x14ac:dyDescent="0.35">
      <c r="A53" s="1" t="s">
        <v>11</v>
      </c>
      <c r="B53">
        <v>2026</v>
      </c>
      <c r="C53">
        <v>2</v>
      </c>
      <c r="D53">
        <v>558535</v>
      </c>
      <c r="E53">
        <v>1886.6800000000005</v>
      </c>
      <c r="F53">
        <v>108</v>
      </c>
      <c r="G53">
        <v>5171.62</v>
      </c>
      <c r="H53" t="str">
        <f t="shared" si="1"/>
        <v>February</v>
      </c>
    </row>
    <row r="54" spans="1:8" x14ac:dyDescent="0.35">
      <c r="A54" s="1" t="s">
        <v>12</v>
      </c>
      <c r="B54">
        <v>2025</v>
      </c>
      <c r="C54">
        <v>1</v>
      </c>
      <c r="D54">
        <v>895695</v>
      </c>
      <c r="E54">
        <v>2974.5400000000013</v>
      </c>
      <c r="F54">
        <v>247</v>
      </c>
      <c r="G54">
        <v>3626.3</v>
      </c>
      <c r="H54" t="str">
        <f t="shared" si="1"/>
        <v>January</v>
      </c>
    </row>
    <row r="55" spans="1:8" x14ac:dyDescent="0.35">
      <c r="A55" s="1" t="s">
        <v>12</v>
      </c>
      <c r="B55">
        <v>2025</v>
      </c>
      <c r="C55">
        <v>2</v>
      </c>
      <c r="D55">
        <v>1470844</v>
      </c>
      <c r="E55">
        <v>3983.5690000000004</v>
      </c>
      <c r="F55">
        <v>330</v>
      </c>
      <c r="G55">
        <v>4457.1000000000004</v>
      </c>
      <c r="H55" t="str">
        <f t="shared" si="1"/>
        <v>February</v>
      </c>
    </row>
    <row r="56" spans="1:8" x14ac:dyDescent="0.35">
      <c r="A56" s="1" t="s">
        <v>12</v>
      </c>
      <c r="B56">
        <v>2025</v>
      </c>
      <c r="C56">
        <v>3</v>
      </c>
      <c r="D56">
        <v>276165</v>
      </c>
      <c r="E56">
        <v>723.48000000000013</v>
      </c>
      <c r="F56">
        <v>82</v>
      </c>
      <c r="G56">
        <v>3367.87</v>
      </c>
      <c r="H56" t="str">
        <f t="shared" si="1"/>
        <v>March</v>
      </c>
    </row>
    <row r="57" spans="1:8" x14ac:dyDescent="0.35">
      <c r="A57" s="1" t="s">
        <v>13</v>
      </c>
      <c r="B57">
        <v>2025</v>
      </c>
      <c r="C57">
        <v>1</v>
      </c>
      <c r="D57">
        <v>1268704</v>
      </c>
      <c r="E57">
        <v>2817.159000000001</v>
      </c>
      <c r="F57">
        <v>254</v>
      </c>
      <c r="G57">
        <v>4994.8999999999996</v>
      </c>
      <c r="H57" t="str">
        <f t="shared" si="1"/>
        <v>January</v>
      </c>
    </row>
    <row r="58" spans="1:8" x14ac:dyDescent="0.35">
      <c r="A58" s="1" t="s">
        <v>13</v>
      </c>
      <c r="B58">
        <v>2025</v>
      </c>
      <c r="C58">
        <v>2</v>
      </c>
      <c r="D58">
        <v>1257855</v>
      </c>
      <c r="E58">
        <v>2978.3500000000013</v>
      </c>
      <c r="F58">
        <v>306</v>
      </c>
      <c r="G58">
        <v>4110.6400000000003</v>
      </c>
      <c r="H58" t="str">
        <f t="shared" si="1"/>
        <v>February</v>
      </c>
    </row>
    <row r="59" spans="1:8" x14ac:dyDescent="0.35">
      <c r="A59" s="1" t="s">
        <v>13</v>
      </c>
      <c r="B59">
        <v>2025</v>
      </c>
      <c r="C59">
        <v>3</v>
      </c>
      <c r="D59">
        <v>2187325</v>
      </c>
      <c r="E59">
        <v>6065.2200000000066</v>
      </c>
      <c r="F59">
        <v>472</v>
      </c>
      <c r="G59">
        <v>4634.16</v>
      </c>
      <c r="H59" t="str">
        <f t="shared" si="1"/>
        <v>March</v>
      </c>
    </row>
    <row r="60" spans="1:8" x14ac:dyDescent="0.35">
      <c r="A60" s="1" t="s">
        <v>13</v>
      </c>
      <c r="B60">
        <v>2025</v>
      </c>
      <c r="C60">
        <v>4</v>
      </c>
      <c r="D60">
        <v>2379143</v>
      </c>
      <c r="E60">
        <v>6694.9730000000018</v>
      </c>
      <c r="F60">
        <v>419</v>
      </c>
      <c r="G60">
        <v>5678.15</v>
      </c>
      <c r="H60" t="str">
        <f t="shared" si="1"/>
        <v>April</v>
      </c>
    </row>
    <row r="61" spans="1:8" x14ac:dyDescent="0.35">
      <c r="A61" s="1" t="s">
        <v>13</v>
      </c>
      <c r="B61">
        <v>2025</v>
      </c>
      <c r="C61">
        <v>5</v>
      </c>
      <c r="D61">
        <v>2361365</v>
      </c>
      <c r="E61">
        <v>5392.1099999999942</v>
      </c>
      <c r="F61">
        <v>478</v>
      </c>
      <c r="G61">
        <v>4940.09</v>
      </c>
      <c r="H61" t="str">
        <f t="shared" si="1"/>
        <v>May</v>
      </c>
    </row>
    <row r="62" spans="1:8" x14ac:dyDescent="0.35">
      <c r="A62" s="1" t="s">
        <v>13</v>
      </c>
      <c r="B62">
        <v>2025</v>
      </c>
      <c r="C62">
        <v>6</v>
      </c>
      <c r="D62">
        <v>1704910</v>
      </c>
      <c r="E62">
        <v>5970.329999999999</v>
      </c>
      <c r="F62">
        <v>391</v>
      </c>
      <c r="G62">
        <v>4360.38</v>
      </c>
      <c r="H62" t="str">
        <f t="shared" si="1"/>
        <v>June</v>
      </c>
    </row>
    <row r="63" spans="1:8" x14ac:dyDescent="0.35">
      <c r="A63" s="1" t="s">
        <v>13</v>
      </c>
      <c r="B63">
        <v>2025</v>
      </c>
      <c r="C63">
        <v>7</v>
      </c>
      <c r="D63">
        <v>1822722</v>
      </c>
      <c r="E63">
        <v>3916.5099999999961</v>
      </c>
      <c r="F63">
        <v>359</v>
      </c>
      <c r="G63">
        <v>5077.22</v>
      </c>
      <c r="H63" t="str">
        <f t="shared" si="1"/>
        <v>July</v>
      </c>
    </row>
    <row r="64" spans="1:8" x14ac:dyDescent="0.35">
      <c r="A64" s="1" t="s">
        <v>13</v>
      </c>
      <c r="B64">
        <v>2025</v>
      </c>
      <c r="C64">
        <v>8</v>
      </c>
      <c r="D64">
        <v>1484339</v>
      </c>
      <c r="E64">
        <v>6074.2999999999984</v>
      </c>
      <c r="F64">
        <v>341</v>
      </c>
      <c r="G64">
        <v>4352.8999999999996</v>
      </c>
      <c r="H64" t="str">
        <f t="shared" si="1"/>
        <v>August</v>
      </c>
    </row>
    <row r="65" spans="1:8" x14ac:dyDescent="0.35">
      <c r="A65" s="1" t="s">
        <v>13</v>
      </c>
      <c r="B65">
        <v>2025</v>
      </c>
      <c r="C65">
        <v>9</v>
      </c>
      <c r="D65">
        <v>2136445</v>
      </c>
      <c r="E65">
        <v>11253.429999999998</v>
      </c>
      <c r="F65">
        <v>371</v>
      </c>
      <c r="G65">
        <v>5758.61</v>
      </c>
      <c r="H65" t="str">
        <f t="shared" si="1"/>
        <v>September</v>
      </c>
    </row>
    <row r="66" spans="1:8" x14ac:dyDescent="0.35">
      <c r="A66" s="1" t="s">
        <v>13</v>
      </c>
      <c r="B66">
        <v>2025</v>
      </c>
      <c r="C66">
        <v>10</v>
      </c>
      <c r="D66">
        <v>2691868</v>
      </c>
      <c r="E66">
        <v>25439.449999999975</v>
      </c>
      <c r="F66">
        <v>466</v>
      </c>
      <c r="G66">
        <v>5776.54</v>
      </c>
      <c r="H66" t="str">
        <f t="shared" ref="H66:H97" si="2">TEXT(DATE(2025,C66,1),"mmmm")</f>
        <v>October</v>
      </c>
    </row>
    <row r="67" spans="1:8" x14ac:dyDescent="0.35">
      <c r="A67" s="1" t="s">
        <v>13</v>
      </c>
      <c r="B67">
        <v>2025</v>
      </c>
      <c r="C67">
        <v>11</v>
      </c>
      <c r="D67">
        <v>2289656</v>
      </c>
      <c r="E67">
        <v>9953.0530000000072</v>
      </c>
      <c r="F67">
        <v>405</v>
      </c>
      <c r="G67">
        <v>5653.47</v>
      </c>
      <c r="H67" t="str">
        <f t="shared" si="2"/>
        <v>November</v>
      </c>
    </row>
    <row r="68" spans="1:8" x14ac:dyDescent="0.35">
      <c r="A68" s="1" t="s">
        <v>13</v>
      </c>
      <c r="B68">
        <v>2025</v>
      </c>
      <c r="C68">
        <v>12</v>
      </c>
      <c r="D68">
        <v>2335362</v>
      </c>
      <c r="E68">
        <v>28427.726999999999</v>
      </c>
      <c r="F68">
        <v>392</v>
      </c>
      <c r="G68">
        <v>5957.56</v>
      </c>
      <c r="H68" t="str">
        <f t="shared" si="2"/>
        <v>December</v>
      </c>
    </row>
    <row r="69" spans="1:8" x14ac:dyDescent="0.35">
      <c r="A69" s="1" t="s">
        <v>13</v>
      </c>
      <c r="B69">
        <v>2026</v>
      </c>
      <c r="C69">
        <v>1</v>
      </c>
      <c r="D69">
        <v>3558552</v>
      </c>
      <c r="E69">
        <v>50796.009999999966</v>
      </c>
      <c r="F69">
        <v>472</v>
      </c>
      <c r="G69">
        <v>7539.31</v>
      </c>
      <c r="H69" t="str">
        <f t="shared" si="2"/>
        <v>January</v>
      </c>
    </row>
    <row r="70" spans="1:8" x14ac:dyDescent="0.35">
      <c r="A70" s="1" t="s">
        <v>13</v>
      </c>
      <c r="B70">
        <v>2026</v>
      </c>
      <c r="C70">
        <v>2</v>
      </c>
      <c r="D70">
        <v>871325</v>
      </c>
      <c r="E70">
        <v>8206.9000000000015</v>
      </c>
      <c r="F70">
        <v>138</v>
      </c>
      <c r="G70">
        <v>6313.95</v>
      </c>
      <c r="H70" t="str">
        <f t="shared" si="2"/>
        <v>February</v>
      </c>
    </row>
    <row r="71" spans="1:8" x14ac:dyDescent="0.35">
      <c r="A71" s="1" t="s">
        <v>14</v>
      </c>
      <c r="B71">
        <v>2025</v>
      </c>
      <c r="C71">
        <v>1</v>
      </c>
      <c r="D71">
        <v>781876</v>
      </c>
      <c r="E71">
        <v>1806.8889999999985</v>
      </c>
      <c r="F71">
        <v>278</v>
      </c>
      <c r="G71">
        <v>2812.5</v>
      </c>
      <c r="H71" t="str">
        <f t="shared" si="2"/>
        <v>January</v>
      </c>
    </row>
    <row r="72" spans="1:8" x14ac:dyDescent="0.35">
      <c r="A72" s="1" t="s">
        <v>14</v>
      </c>
      <c r="B72">
        <v>2025</v>
      </c>
      <c r="C72">
        <v>2</v>
      </c>
      <c r="D72">
        <v>1704837</v>
      </c>
      <c r="E72">
        <v>4186.0999999999995</v>
      </c>
      <c r="F72">
        <v>507</v>
      </c>
      <c r="G72">
        <v>3362.6</v>
      </c>
      <c r="H72" t="str">
        <f t="shared" si="2"/>
        <v>February</v>
      </c>
    </row>
    <row r="73" spans="1:8" x14ac:dyDescent="0.35">
      <c r="A73" s="1" t="s">
        <v>14</v>
      </c>
      <c r="B73">
        <v>2025</v>
      </c>
      <c r="C73">
        <v>3</v>
      </c>
      <c r="D73">
        <v>2686355</v>
      </c>
      <c r="E73">
        <v>6383.0400000000027</v>
      </c>
      <c r="F73">
        <v>821</v>
      </c>
      <c r="G73">
        <v>3272.05</v>
      </c>
      <c r="H73" t="str">
        <f t="shared" si="2"/>
        <v>March</v>
      </c>
    </row>
    <row r="74" spans="1:8" x14ac:dyDescent="0.35">
      <c r="A74" s="1" t="s">
        <v>14</v>
      </c>
      <c r="B74">
        <v>2025</v>
      </c>
      <c r="C74">
        <v>4</v>
      </c>
      <c r="D74">
        <v>1516311</v>
      </c>
      <c r="E74">
        <v>3414.5800000000017</v>
      </c>
      <c r="F74">
        <v>476</v>
      </c>
      <c r="G74">
        <v>3185.53</v>
      </c>
      <c r="H74" t="str">
        <f t="shared" si="2"/>
        <v>April</v>
      </c>
    </row>
    <row r="75" spans="1:8" x14ac:dyDescent="0.35">
      <c r="A75" s="1" t="s">
        <v>14</v>
      </c>
      <c r="B75">
        <v>2025</v>
      </c>
      <c r="C75">
        <v>5</v>
      </c>
      <c r="D75">
        <v>1820764</v>
      </c>
      <c r="E75">
        <v>5987.7199999999984</v>
      </c>
      <c r="F75">
        <v>625</v>
      </c>
      <c r="G75">
        <v>2913.22</v>
      </c>
      <c r="H75" t="str">
        <f t="shared" si="2"/>
        <v>May</v>
      </c>
    </row>
    <row r="76" spans="1:8" x14ac:dyDescent="0.35">
      <c r="A76" s="1" t="s">
        <v>14</v>
      </c>
      <c r="B76">
        <v>2025</v>
      </c>
      <c r="C76">
        <v>6</v>
      </c>
      <c r="D76">
        <v>1842641</v>
      </c>
      <c r="E76">
        <v>4015.7199999999948</v>
      </c>
      <c r="F76">
        <v>563</v>
      </c>
      <c r="G76">
        <v>3272.9</v>
      </c>
      <c r="H76" t="str">
        <f t="shared" si="2"/>
        <v>June</v>
      </c>
    </row>
    <row r="77" spans="1:8" x14ac:dyDescent="0.35">
      <c r="A77" s="1" t="s">
        <v>14</v>
      </c>
      <c r="B77">
        <v>2025</v>
      </c>
      <c r="C77">
        <v>7</v>
      </c>
      <c r="D77">
        <v>1519037</v>
      </c>
      <c r="E77">
        <v>3271.8899999999967</v>
      </c>
      <c r="F77">
        <v>470</v>
      </c>
      <c r="G77">
        <v>3231.99</v>
      </c>
      <c r="H77" t="str">
        <f t="shared" si="2"/>
        <v>July</v>
      </c>
    </row>
    <row r="78" spans="1:8" x14ac:dyDescent="0.35">
      <c r="A78" s="1" t="s">
        <v>14</v>
      </c>
      <c r="B78">
        <v>2025</v>
      </c>
      <c r="C78">
        <v>8</v>
      </c>
      <c r="D78">
        <v>1658296</v>
      </c>
      <c r="E78">
        <v>3527.6799999999976</v>
      </c>
      <c r="F78">
        <v>514</v>
      </c>
      <c r="G78">
        <v>3226.26</v>
      </c>
      <c r="H78" t="str">
        <f t="shared" si="2"/>
        <v>August</v>
      </c>
    </row>
    <row r="79" spans="1:8" x14ac:dyDescent="0.35">
      <c r="A79" s="1" t="s">
        <v>14</v>
      </c>
      <c r="B79">
        <v>2025</v>
      </c>
      <c r="C79">
        <v>9</v>
      </c>
      <c r="D79">
        <v>2393485</v>
      </c>
      <c r="E79">
        <v>11057.010000000006</v>
      </c>
      <c r="F79">
        <v>650</v>
      </c>
      <c r="G79">
        <v>3682.28</v>
      </c>
      <c r="H79" t="str">
        <f t="shared" si="2"/>
        <v>September</v>
      </c>
    </row>
    <row r="80" spans="1:8" x14ac:dyDescent="0.35">
      <c r="A80" s="1" t="s">
        <v>14</v>
      </c>
      <c r="B80">
        <v>2025</v>
      </c>
      <c r="C80">
        <v>10</v>
      </c>
      <c r="D80">
        <v>2764498</v>
      </c>
      <c r="E80">
        <v>7019.2499999999982</v>
      </c>
      <c r="F80">
        <v>735</v>
      </c>
      <c r="G80">
        <v>3761.22</v>
      </c>
      <c r="H80" t="str">
        <f t="shared" si="2"/>
        <v>October</v>
      </c>
    </row>
    <row r="81" spans="1:8" x14ac:dyDescent="0.35">
      <c r="A81" s="1" t="s">
        <v>14</v>
      </c>
      <c r="B81">
        <v>2025</v>
      </c>
      <c r="C81">
        <v>11</v>
      </c>
      <c r="D81">
        <v>1909045</v>
      </c>
      <c r="E81">
        <v>3423.3800000000028</v>
      </c>
      <c r="F81">
        <v>506</v>
      </c>
      <c r="G81">
        <v>3772.82</v>
      </c>
      <c r="H81" t="str">
        <f t="shared" si="2"/>
        <v>November</v>
      </c>
    </row>
    <row r="82" spans="1:8" x14ac:dyDescent="0.35">
      <c r="A82" s="1" t="s">
        <v>14</v>
      </c>
      <c r="B82">
        <v>2025</v>
      </c>
      <c r="C82">
        <v>12</v>
      </c>
      <c r="D82">
        <v>2175756.5</v>
      </c>
      <c r="E82">
        <v>3746.8589999999995</v>
      </c>
      <c r="F82">
        <v>553</v>
      </c>
      <c r="G82">
        <v>3934.46</v>
      </c>
      <c r="H82" t="str">
        <f t="shared" si="2"/>
        <v>December</v>
      </c>
    </row>
    <row r="83" spans="1:8" x14ac:dyDescent="0.35">
      <c r="A83" s="1" t="s">
        <v>14</v>
      </c>
      <c r="B83">
        <v>2026</v>
      </c>
      <c r="C83">
        <v>1</v>
      </c>
      <c r="D83">
        <v>3200407</v>
      </c>
      <c r="E83">
        <v>28898.330000000016</v>
      </c>
      <c r="F83">
        <v>646</v>
      </c>
      <c r="G83">
        <v>4954.1899999999996</v>
      </c>
      <c r="H83" t="str">
        <f t="shared" si="2"/>
        <v>January</v>
      </c>
    </row>
    <row r="84" spans="1:8" x14ac:dyDescent="0.35">
      <c r="A84" s="1" t="s">
        <v>14</v>
      </c>
      <c r="B84">
        <v>2026</v>
      </c>
      <c r="C84">
        <v>2</v>
      </c>
      <c r="D84">
        <v>1279329</v>
      </c>
      <c r="E84">
        <v>41139.849999999984</v>
      </c>
      <c r="F84">
        <v>206</v>
      </c>
      <c r="G84">
        <v>6210.33</v>
      </c>
      <c r="H84" t="str">
        <f t="shared" si="2"/>
        <v>February</v>
      </c>
    </row>
    <row r="85" spans="1:8" x14ac:dyDescent="0.35">
      <c r="A85" s="1" t="s">
        <v>15</v>
      </c>
      <c r="B85">
        <v>2025</v>
      </c>
      <c r="C85">
        <v>1</v>
      </c>
      <c r="D85">
        <v>688190</v>
      </c>
      <c r="E85">
        <v>1601.0299999999995</v>
      </c>
      <c r="F85">
        <v>142</v>
      </c>
      <c r="G85">
        <v>4846.41</v>
      </c>
      <c r="H85" t="str">
        <f t="shared" si="2"/>
        <v>January</v>
      </c>
    </row>
    <row r="86" spans="1:8" x14ac:dyDescent="0.35">
      <c r="A86" s="1" t="s">
        <v>15</v>
      </c>
      <c r="B86">
        <v>2025</v>
      </c>
      <c r="C86">
        <v>2</v>
      </c>
      <c r="D86">
        <v>1294391</v>
      </c>
      <c r="E86">
        <v>3687.1699999999996</v>
      </c>
      <c r="F86">
        <v>253</v>
      </c>
      <c r="G86">
        <v>5116.17</v>
      </c>
      <c r="H86" t="str">
        <f t="shared" si="2"/>
        <v>February</v>
      </c>
    </row>
    <row r="87" spans="1:8" x14ac:dyDescent="0.35">
      <c r="A87" s="1" t="s">
        <v>15</v>
      </c>
      <c r="B87">
        <v>2025</v>
      </c>
      <c r="C87">
        <v>3</v>
      </c>
      <c r="D87">
        <v>1797550</v>
      </c>
      <c r="E87">
        <v>7804.359999999996</v>
      </c>
      <c r="F87">
        <v>308</v>
      </c>
      <c r="G87">
        <v>5836.2</v>
      </c>
      <c r="H87" t="str">
        <f t="shared" si="2"/>
        <v>March</v>
      </c>
    </row>
    <row r="88" spans="1:8" x14ac:dyDescent="0.35">
      <c r="A88" s="1" t="s">
        <v>15</v>
      </c>
      <c r="B88">
        <v>2025</v>
      </c>
      <c r="C88">
        <v>4</v>
      </c>
      <c r="D88">
        <v>2845909</v>
      </c>
      <c r="E88">
        <v>11275.690000000013</v>
      </c>
      <c r="F88">
        <v>395</v>
      </c>
      <c r="G88">
        <v>7204.83</v>
      </c>
      <c r="H88" t="str">
        <f t="shared" si="2"/>
        <v>April</v>
      </c>
    </row>
    <row r="89" spans="1:8" x14ac:dyDescent="0.35">
      <c r="A89" s="1" t="s">
        <v>15</v>
      </c>
      <c r="B89">
        <v>2025</v>
      </c>
      <c r="C89">
        <v>5</v>
      </c>
      <c r="D89">
        <v>2647020</v>
      </c>
      <c r="E89">
        <v>15483.920000000002</v>
      </c>
      <c r="F89">
        <v>438</v>
      </c>
      <c r="G89">
        <v>6043.42</v>
      </c>
      <c r="H89" t="str">
        <f t="shared" si="2"/>
        <v>May</v>
      </c>
    </row>
    <row r="90" spans="1:8" x14ac:dyDescent="0.35">
      <c r="A90" s="1" t="s">
        <v>15</v>
      </c>
      <c r="B90">
        <v>2025</v>
      </c>
      <c r="C90">
        <v>6</v>
      </c>
      <c r="D90">
        <v>1391570</v>
      </c>
      <c r="E90">
        <v>4652.6800000000048</v>
      </c>
      <c r="F90">
        <v>243</v>
      </c>
      <c r="G90">
        <v>5726.63</v>
      </c>
      <c r="H90" t="str">
        <f t="shared" si="2"/>
        <v>June</v>
      </c>
    </row>
    <row r="91" spans="1:8" x14ac:dyDescent="0.35">
      <c r="A91" s="1" t="s">
        <v>15</v>
      </c>
      <c r="B91">
        <v>2025</v>
      </c>
      <c r="C91">
        <v>7</v>
      </c>
      <c r="D91">
        <v>1152750</v>
      </c>
      <c r="E91">
        <v>3939.9499999999994</v>
      </c>
      <c r="F91">
        <v>210</v>
      </c>
      <c r="G91">
        <v>5489.29</v>
      </c>
      <c r="H91" t="str">
        <f t="shared" si="2"/>
        <v>July</v>
      </c>
    </row>
    <row r="92" spans="1:8" x14ac:dyDescent="0.35">
      <c r="A92" s="1" t="s">
        <v>15</v>
      </c>
      <c r="B92">
        <v>2025</v>
      </c>
      <c r="C92">
        <v>8</v>
      </c>
      <c r="D92">
        <v>1252938</v>
      </c>
      <c r="E92">
        <v>3179.9799999999991</v>
      </c>
      <c r="F92">
        <v>209</v>
      </c>
      <c r="G92">
        <v>5994.92</v>
      </c>
      <c r="H92" t="str">
        <f t="shared" si="2"/>
        <v>August</v>
      </c>
    </row>
    <row r="93" spans="1:8" x14ac:dyDescent="0.35">
      <c r="A93" s="1" t="s">
        <v>15</v>
      </c>
      <c r="B93">
        <v>2025</v>
      </c>
      <c r="C93">
        <v>9</v>
      </c>
      <c r="D93">
        <v>1796990</v>
      </c>
      <c r="E93">
        <v>7240.2900000000009</v>
      </c>
      <c r="F93">
        <v>270</v>
      </c>
      <c r="G93">
        <v>6655.52</v>
      </c>
      <c r="H93" t="str">
        <f t="shared" si="2"/>
        <v>September</v>
      </c>
    </row>
    <row r="94" spans="1:8" x14ac:dyDescent="0.35">
      <c r="A94" s="1" t="s">
        <v>15</v>
      </c>
      <c r="B94">
        <v>2025</v>
      </c>
      <c r="C94">
        <v>10</v>
      </c>
      <c r="D94">
        <v>2118183</v>
      </c>
      <c r="E94">
        <v>8294.4100000000089</v>
      </c>
      <c r="F94">
        <v>383</v>
      </c>
      <c r="G94">
        <v>5530.5</v>
      </c>
      <c r="H94" t="str">
        <f t="shared" si="2"/>
        <v>October</v>
      </c>
    </row>
    <row r="95" spans="1:8" x14ac:dyDescent="0.35">
      <c r="A95" s="1" t="s">
        <v>15</v>
      </c>
      <c r="B95">
        <v>2025</v>
      </c>
      <c r="C95">
        <v>11</v>
      </c>
      <c r="D95">
        <v>1038682</v>
      </c>
      <c r="E95">
        <v>2107.8789999999981</v>
      </c>
      <c r="F95">
        <v>240</v>
      </c>
      <c r="G95">
        <v>4327.84</v>
      </c>
      <c r="H95" t="str">
        <f t="shared" si="2"/>
        <v>November</v>
      </c>
    </row>
    <row r="96" spans="1:8" x14ac:dyDescent="0.35">
      <c r="A96" s="1" t="s">
        <v>15</v>
      </c>
      <c r="B96">
        <v>2025</v>
      </c>
      <c r="C96">
        <v>12</v>
      </c>
      <c r="D96">
        <v>1301523</v>
      </c>
      <c r="E96">
        <v>8852.9499999999971</v>
      </c>
      <c r="F96">
        <v>222</v>
      </c>
      <c r="G96">
        <v>5862.72</v>
      </c>
      <c r="H96" t="str">
        <f t="shared" si="2"/>
        <v>December</v>
      </c>
    </row>
    <row r="97" spans="1:8" x14ac:dyDescent="0.35">
      <c r="A97" s="1" t="s">
        <v>15</v>
      </c>
      <c r="B97">
        <v>2026</v>
      </c>
      <c r="C97">
        <v>1</v>
      </c>
      <c r="D97">
        <v>1976235</v>
      </c>
      <c r="E97">
        <v>29940.689999999991</v>
      </c>
      <c r="F97">
        <v>278</v>
      </c>
      <c r="G97">
        <v>7108.76</v>
      </c>
      <c r="H97" t="str">
        <f t="shared" si="2"/>
        <v>January</v>
      </c>
    </row>
    <row r="98" spans="1:8" x14ac:dyDescent="0.35">
      <c r="A98" s="1" t="s">
        <v>15</v>
      </c>
      <c r="B98">
        <v>2026</v>
      </c>
      <c r="C98">
        <v>2</v>
      </c>
      <c r="D98">
        <v>556192</v>
      </c>
      <c r="E98">
        <v>968.27</v>
      </c>
      <c r="F98">
        <v>90</v>
      </c>
      <c r="G98">
        <v>6179.91</v>
      </c>
      <c r="H98" t="str">
        <f t="shared" ref="H98:H129" si="3">TEXT(DATE(2025,C98,1),"mmmm")</f>
        <v>February</v>
      </c>
    </row>
    <row r="99" spans="1:8" x14ac:dyDescent="0.35">
      <c r="A99" s="1" t="s">
        <v>16</v>
      </c>
      <c r="B99">
        <v>2025</v>
      </c>
      <c r="C99">
        <v>1</v>
      </c>
      <c r="D99">
        <v>964345</v>
      </c>
      <c r="E99">
        <v>2176.41</v>
      </c>
      <c r="F99">
        <v>230</v>
      </c>
      <c r="G99">
        <v>4192.8</v>
      </c>
      <c r="H99" t="str">
        <f t="shared" si="3"/>
        <v>January</v>
      </c>
    </row>
    <row r="100" spans="1:8" x14ac:dyDescent="0.35">
      <c r="A100" s="1" t="s">
        <v>16</v>
      </c>
      <c r="B100">
        <v>2025</v>
      </c>
      <c r="C100">
        <v>2</v>
      </c>
      <c r="D100">
        <v>1664810</v>
      </c>
      <c r="E100">
        <v>6474.3490000000011</v>
      </c>
      <c r="F100">
        <v>370</v>
      </c>
      <c r="G100">
        <v>4499.49</v>
      </c>
      <c r="H100" t="str">
        <f t="shared" si="3"/>
        <v>February</v>
      </c>
    </row>
    <row r="101" spans="1:8" x14ac:dyDescent="0.35">
      <c r="A101" s="1" t="s">
        <v>16</v>
      </c>
      <c r="B101">
        <v>2025</v>
      </c>
      <c r="C101">
        <v>3</v>
      </c>
      <c r="D101">
        <v>2300450</v>
      </c>
      <c r="E101">
        <v>9299.9280000000108</v>
      </c>
      <c r="F101">
        <v>559</v>
      </c>
      <c r="G101">
        <v>4115.3</v>
      </c>
      <c r="H101" t="str">
        <f t="shared" si="3"/>
        <v>March</v>
      </c>
    </row>
    <row r="102" spans="1:8" x14ac:dyDescent="0.35">
      <c r="A102" s="1" t="s">
        <v>16</v>
      </c>
      <c r="B102">
        <v>2025</v>
      </c>
      <c r="C102">
        <v>4</v>
      </c>
      <c r="D102">
        <v>1462590</v>
      </c>
      <c r="E102">
        <v>6955.6500000000015</v>
      </c>
      <c r="F102">
        <v>279</v>
      </c>
      <c r="G102">
        <v>5242.26</v>
      </c>
      <c r="H102" t="str">
        <f t="shared" si="3"/>
        <v>April</v>
      </c>
    </row>
    <row r="103" spans="1:8" x14ac:dyDescent="0.35">
      <c r="A103" s="1" t="s">
        <v>16</v>
      </c>
      <c r="B103">
        <v>2025</v>
      </c>
      <c r="C103">
        <v>5</v>
      </c>
      <c r="D103">
        <v>2242835</v>
      </c>
      <c r="E103">
        <v>7668.9399999999969</v>
      </c>
      <c r="F103">
        <v>430</v>
      </c>
      <c r="G103">
        <v>5215.8999999999996</v>
      </c>
      <c r="H103" t="str">
        <f t="shared" si="3"/>
        <v>May</v>
      </c>
    </row>
    <row r="104" spans="1:8" x14ac:dyDescent="0.35">
      <c r="A104" s="1" t="s">
        <v>16</v>
      </c>
      <c r="B104">
        <v>2025</v>
      </c>
      <c r="C104">
        <v>6</v>
      </c>
      <c r="D104">
        <v>1365810</v>
      </c>
      <c r="E104">
        <v>3401.4299999999994</v>
      </c>
      <c r="F104">
        <v>312</v>
      </c>
      <c r="G104">
        <v>4377.6000000000004</v>
      </c>
      <c r="H104" t="str">
        <f t="shared" si="3"/>
        <v>June</v>
      </c>
    </row>
    <row r="105" spans="1:8" x14ac:dyDescent="0.35">
      <c r="A105" s="1" t="s">
        <v>16</v>
      </c>
      <c r="B105">
        <v>2025</v>
      </c>
      <c r="C105">
        <v>7</v>
      </c>
      <c r="D105">
        <v>927215</v>
      </c>
      <c r="E105">
        <v>2154.8499999999976</v>
      </c>
      <c r="F105">
        <v>214</v>
      </c>
      <c r="G105">
        <v>4332.78</v>
      </c>
      <c r="H105" t="str">
        <f t="shared" si="3"/>
        <v>July</v>
      </c>
    </row>
    <row r="106" spans="1:8" x14ac:dyDescent="0.35">
      <c r="A106" s="1" t="s">
        <v>16</v>
      </c>
      <c r="B106">
        <v>2025</v>
      </c>
      <c r="C106">
        <v>8</v>
      </c>
      <c r="D106">
        <v>971095</v>
      </c>
      <c r="E106">
        <v>2271.9600000000005</v>
      </c>
      <c r="F106">
        <v>239</v>
      </c>
      <c r="G106">
        <v>4063.16</v>
      </c>
      <c r="H106" t="str">
        <f t="shared" si="3"/>
        <v>August</v>
      </c>
    </row>
    <row r="107" spans="1:8" x14ac:dyDescent="0.35">
      <c r="A107" s="1" t="s">
        <v>16</v>
      </c>
      <c r="B107">
        <v>2025</v>
      </c>
      <c r="C107">
        <v>9</v>
      </c>
      <c r="D107">
        <v>1287820</v>
      </c>
      <c r="E107">
        <v>4920.0799999999981</v>
      </c>
      <c r="F107">
        <v>263</v>
      </c>
      <c r="G107">
        <v>4896.6499999999996</v>
      </c>
      <c r="H107" t="str">
        <f t="shared" si="3"/>
        <v>September</v>
      </c>
    </row>
    <row r="108" spans="1:8" x14ac:dyDescent="0.35">
      <c r="A108" s="1" t="s">
        <v>16</v>
      </c>
      <c r="B108">
        <v>2025</v>
      </c>
      <c r="C108">
        <v>10</v>
      </c>
      <c r="D108">
        <v>1782760</v>
      </c>
      <c r="E108">
        <v>13977.639999999998</v>
      </c>
      <c r="F108">
        <v>337</v>
      </c>
      <c r="G108">
        <v>5290.09</v>
      </c>
      <c r="H108" t="str">
        <f t="shared" si="3"/>
        <v>October</v>
      </c>
    </row>
    <row r="109" spans="1:8" x14ac:dyDescent="0.35">
      <c r="A109" s="1" t="s">
        <v>16</v>
      </c>
      <c r="B109">
        <v>2025</v>
      </c>
      <c r="C109">
        <v>11</v>
      </c>
      <c r="D109">
        <v>1540815</v>
      </c>
      <c r="E109">
        <v>4976.7200000000048</v>
      </c>
      <c r="F109">
        <v>268</v>
      </c>
      <c r="G109">
        <v>5749.31</v>
      </c>
      <c r="H109" t="str">
        <f t="shared" si="3"/>
        <v>November</v>
      </c>
    </row>
    <row r="110" spans="1:8" x14ac:dyDescent="0.35">
      <c r="A110" s="1" t="s">
        <v>16</v>
      </c>
      <c r="B110">
        <v>2025</v>
      </c>
      <c r="C110">
        <v>12</v>
      </c>
      <c r="D110">
        <v>1631860</v>
      </c>
      <c r="E110">
        <v>6978.6</v>
      </c>
      <c r="F110">
        <v>278</v>
      </c>
      <c r="G110">
        <v>5870</v>
      </c>
      <c r="H110" t="str">
        <f t="shared" si="3"/>
        <v>December</v>
      </c>
    </row>
    <row r="111" spans="1:8" x14ac:dyDescent="0.35">
      <c r="A111" s="1" t="s">
        <v>16</v>
      </c>
      <c r="B111">
        <v>2026</v>
      </c>
      <c r="C111">
        <v>1</v>
      </c>
      <c r="D111">
        <v>1745375</v>
      </c>
      <c r="E111">
        <v>22291.979999999996</v>
      </c>
      <c r="F111">
        <v>309</v>
      </c>
      <c r="G111">
        <v>5648.46</v>
      </c>
      <c r="H111" t="str">
        <f t="shared" si="3"/>
        <v>January</v>
      </c>
    </row>
    <row r="112" spans="1:8" x14ac:dyDescent="0.35">
      <c r="A112" s="1" t="s">
        <v>16</v>
      </c>
      <c r="B112">
        <v>2026</v>
      </c>
      <c r="C112">
        <v>2</v>
      </c>
      <c r="D112">
        <v>700680</v>
      </c>
      <c r="E112">
        <v>4058.3199999999993</v>
      </c>
      <c r="F112">
        <v>124</v>
      </c>
      <c r="G112">
        <v>5650.65</v>
      </c>
      <c r="H112" t="str">
        <f t="shared" si="3"/>
        <v>February</v>
      </c>
    </row>
    <row r="113" spans="1:8" x14ac:dyDescent="0.35">
      <c r="A113" s="1" t="s">
        <v>17</v>
      </c>
      <c r="B113">
        <v>2025</v>
      </c>
      <c r="C113">
        <v>1</v>
      </c>
      <c r="D113">
        <v>1132935</v>
      </c>
      <c r="E113">
        <v>1711.2999999999995</v>
      </c>
      <c r="F113">
        <v>232</v>
      </c>
      <c r="G113">
        <v>4883.34</v>
      </c>
      <c r="H113" t="str">
        <f t="shared" si="3"/>
        <v>January</v>
      </c>
    </row>
    <row r="114" spans="1:8" x14ac:dyDescent="0.35">
      <c r="A114" s="1" t="s">
        <v>17</v>
      </c>
      <c r="B114">
        <v>2025</v>
      </c>
      <c r="C114">
        <v>2</v>
      </c>
      <c r="D114">
        <v>1557542</v>
      </c>
      <c r="E114">
        <v>4008.9289999999987</v>
      </c>
      <c r="F114">
        <v>327</v>
      </c>
      <c r="G114">
        <v>4763.13</v>
      </c>
      <c r="H114" t="str">
        <f t="shared" si="3"/>
        <v>February</v>
      </c>
    </row>
    <row r="115" spans="1:8" x14ac:dyDescent="0.35">
      <c r="A115" s="1" t="s">
        <v>17</v>
      </c>
      <c r="B115">
        <v>2025</v>
      </c>
      <c r="C115">
        <v>3</v>
      </c>
      <c r="D115">
        <v>2377075</v>
      </c>
      <c r="E115">
        <v>6052.4299999999994</v>
      </c>
      <c r="F115">
        <v>449</v>
      </c>
      <c r="G115">
        <v>5294.15</v>
      </c>
      <c r="H115" t="str">
        <f t="shared" si="3"/>
        <v>March</v>
      </c>
    </row>
    <row r="116" spans="1:8" x14ac:dyDescent="0.35">
      <c r="A116" s="1" t="s">
        <v>17</v>
      </c>
      <c r="B116">
        <v>2025</v>
      </c>
      <c r="C116">
        <v>4</v>
      </c>
      <c r="D116">
        <v>1620140</v>
      </c>
      <c r="E116">
        <v>6720.5700000000079</v>
      </c>
      <c r="F116">
        <v>306</v>
      </c>
      <c r="G116">
        <v>5294.58</v>
      </c>
      <c r="H116" t="str">
        <f t="shared" si="3"/>
        <v>April</v>
      </c>
    </row>
    <row r="117" spans="1:8" x14ac:dyDescent="0.35">
      <c r="A117" s="1" t="s">
        <v>17</v>
      </c>
      <c r="B117">
        <v>2025</v>
      </c>
      <c r="C117">
        <v>5</v>
      </c>
      <c r="D117">
        <v>1804331</v>
      </c>
      <c r="E117">
        <v>4144.7720000000008</v>
      </c>
      <c r="F117">
        <v>341</v>
      </c>
      <c r="G117">
        <v>5291.29</v>
      </c>
      <c r="H117" t="str">
        <f t="shared" si="3"/>
        <v>May</v>
      </c>
    </row>
    <row r="118" spans="1:8" x14ac:dyDescent="0.35">
      <c r="A118" s="1" t="s">
        <v>17</v>
      </c>
      <c r="B118">
        <v>2025</v>
      </c>
      <c r="C118">
        <v>6</v>
      </c>
      <c r="D118">
        <v>1218640</v>
      </c>
      <c r="E118">
        <v>2761.8400000000006</v>
      </c>
      <c r="F118">
        <v>255</v>
      </c>
      <c r="G118">
        <v>4778.9799999999996</v>
      </c>
      <c r="H118" t="str">
        <f t="shared" si="3"/>
        <v>June</v>
      </c>
    </row>
    <row r="119" spans="1:8" x14ac:dyDescent="0.35">
      <c r="A119" s="1" t="s">
        <v>17</v>
      </c>
      <c r="B119">
        <v>2025</v>
      </c>
      <c r="C119">
        <v>7</v>
      </c>
      <c r="D119">
        <v>1410468</v>
      </c>
      <c r="E119">
        <v>3247.4999999999991</v>
      </c>
      <c r="F119">
        <v>264</v>
      </c>
      <c r="G119">
        <v>5342.68</v>
      </c>
      <c r="H119" t="str">
        <f t="shared" si="3"/>
        <v>July</v>
      </c>
    </row>
    <row r="120" spans="1:8" x14ac:dyDescent="0.35">
      <c r="A120" s="1" t="s">
        <v>17</v>
      </c>
      <c r="B120">
        <v>2025</v>
      </c>
      <c r="C120">
        <v>8</v>
      </c>
      <c r="D120">
        <v>1303100</v>
      </c>
      <c r="E120">
        <v>5927.0600000000022</v>
      </c>
      <c r="F120">
        <v>295</v>
      </c>
      <c r="G120">
        <v>4417.29</v>
      </c>
      <c r="H120" t="str">
        <f t="shared" si="3"/>
        <v>August</v>
      </c>
    </row>
    <row r="121" spans="1:8" x14ac:dyDescent="0.35">
      <c r="A121" s="1" t="s">
        <v>17</v>
      </c>
      <c r="B121">
        <v>2025</v>
      </c>
      <c r="C121">
        <v>9</v>
      </c>
      <c r="D121">
        <v>1154971</v>
      </c>
      <c r="E121">
        <v>3444.3000000000011</v>
      </c>
      <c r="F121">
        <v>275</v>
      </c>
      <c r="G121">
        <v>4199.8900000000003</v>
      </c>
      <c r="H121" t="str">
        <f t="shared" si="3"/>
        <v>September</v>
      </c>
    </row>
    <row r="122" spans="1:8" x14ac:dyDescent="0.35">
      <c r="A122" s="1" t="s">
        <v>17</v>
      </c>
      <c r="B122">
        <v>2025</v>
      </c>
      <c r="C122">
        <v>10</v>
      </c>
      <c r="D122">
        <v>2794453</v>
      </c>
      <c r="E122">
        <v>22027.139999999992</v>
      </c>
      <c r="F122">
        <v>387</v>
      </c>
      <c r="G122">
        <v>7220.81</v>
      </c>
      <c r="H122" t="str">
        <f t="shared" si="3"/>
        <v>October</v>
      </c>
    </row>
    <row r="123" spans="1:8" x14ac:dyDescent="0.35">
      <c r="A123" s="1" t="s">
        <v>17</v>
      </c>
      <c r="B123">
        <v>2025</v>
      </c>
      <c r="C123">
        <v>11</v>
      </c>
      <c r="D123">
        <v>1503965</v>
      </c>
      <c r="E123">
        <v>3882.9600000000005</v>
      </c>
      <c r="F123">
        <v>299</v>
      </c>
      <c r="G123">
        <v>5029.9799999999996</v>
      </c>
      <c r="H123" t="str">
        <f t="shared" si="3"/>
        <v>November</v>
      </c>
    </row>
    <row r="124" spans="1:8" x14ac:dyDescent="0.35">
      <c r="A124" s="1" t="s">
        <v>17</v>
      </c>
      <c r="B124">
        <v>2025</v>
      </c>
      <c r="C124">
        <v>12</v>
      </c>
      <c r="D124">
        <v>2190271</v>
      </c>
      <c r="E124">
        <v>13209.18</v>
      </c>
      <c r="F124">
        <v>361</v>
      </c>
      <c r="G124">
        <v>6067.23</v>
      </c>
      <c r="H124" t="str">
        <f t="shared" si="3"/>
        <v>December</v>
      </c>
    </row>
    <row r="125" spans="1:8" x14ac:dyDescent="0.35">
      <c r="A125" s="1" t="s">
        <v>17</v>
      </c>
      <c r="B125">
        <v>2026</v>
      </c>
      <c r="C125">
        <v>1</v>
      </c>
      <c r="D125">
        <v>2738365</v>
      </c>
      <c r="E125">
        <v>43601.879999999954</v>
      </c>
      <c r="F125">
        <v>402</v>
      </c>
      <c r="G125">
        <v>6811.85</v>
      </c>
      <c r="H125" t="str">
        <f t="shared" si="3"/>
        <v>January</v>
      </c>
    </row>
    <row r="126" spans="1:8" x14ac:dyDescent="0.35">
      <c r="A126" s="1" t="s">
        <v>17</v>
      </c>
      <c r="B126">
        <v>2026</v>
      </c>
      <c r="C126">
        <v>2</v>
      </c>
      <c r="D126">
        <v>689207</v>
      </c>
      <c r="E126">
        <v>2037.0500000000002</v>
      </c>
      <c r="F126">
        <v>114</v>
      </c>
      <c r="G126">
        <v>6045.68</v>
      </c>
      <c r="H126" t="str">
        <f t="shared" si="3"/>
        <v>February</v>
      </c>
    </row>
    <row r="127" spans="1:8" x14ac:dyDescent="0.35">
      <c r="A127" s="1" t="s">
        <v>18</v>
      </c>
      <c r="B127">
        <v>2025</v>
      </c>
      <c r="C127">
        <v>1</v>
      </c>
      <c r="D127">
        <v>868550</v>
      </c>
      <c r="E127">
        <v>3971.9</v>
      </c>
      <c r="F127">
        <v>190</v>
      </c>
      <c r="G127">
        <v>4571.32</v>
      </c>
      <c r="H127" t="str">
        <f t="shared" si="3"/>
        <v>January</v>
      </c>
    </row>
    <row r="128" spans="1:8" x14ac:dyDescent="0.35">
      <c r="A128" s="1" t="s">
        <v>18</v>
      </c>
      <c r="B128">
        <v>2025</v>
      </c>
      <c r="C128">
        <v>2</v>
      </c>
      <c r="D128">
        <v>1905223</v>
      </c>
      <c r="E128">
        <v>5339.0999999999995</v>
      </c>
      <c r="F128">
        <v>343</v>
      </c>
      <c r="G128">
        <v>5554.59</v>
      </c>
      <c r="H128" t="str">
        <f t="shared" si="3"/>
        <v>February</v>
      </c>
    </row>
    <row r="129" spans="1:8" x14ac:dyDescent="0.35">
      <c r="A129" s="1" t="s">
        <v>18</v>
      </c>
      <c r="B129">
        <v>2025</v>
      </c>
      <c r="C129">
        <v>3</v>
      </c>
      <c r="D129">
        <v>2354166</v>
      </c>
      <c r="E129">
        <v>6697.3400000000074</v>
      </c>
      <c r="F129">
        <v>457</v>
      </c>
      <c r="G129">
        <v>5151.3500000000004</v>
      </c>
      <c r="H129" t="str">
        <f t="shared" si="3"/>
        <v>March</v>
      </c>
    </row>
    <row r="130" spans="1:8" x14ac:dyDescent="0.35">
      <c r="A130" s="1" t="s">
        <v>18</v>
      </c>
      <c r="B130">
        <v>2025</v>
      </c>
      <c r="C130">
        <v>4</v>
      </c>
      <c r="D130">
        <v>2684360</v>
      </c>
      <c r="E130">
        <v>11027.080000000004</v>
      </c>
      <c r="F130">
        <v>450</v>
      </c>
      <c r="G130">
        <v>5965.24</v>
      </c>
      <c r="H130" t="str">
        <f t="shared" ref="H130:H161" si="4">TEXT(DATE(2025,C130,1),"mmmm")</f>
        <v>April</v>
      </c>
    </row>
    <row r="131" spans="1:8" x14ac:dyDescent="0.35">
      <c r="A131" s="1" t="s">
        <v>18</v>
      </c>
      <c r="B131">
        <v>2025</v>
      </c>
      <c r="C131">
        <v>5</v>
      </c>
      <c r="D131">
        <v>2452005</v>
      </c>
      <c r="E131">
        <v>9053.670000000011</v>
      </c>
      <c r="F131">
        <v>516</v>
      </c>
      <c r="G131">
        <v>4751.95</v>
      </c>
      <c r="H131" t="str">
        <f t="shared" si="4"/>
        <v>May</v>
      </c>
    </row>
    <row r="132" spans="1:8" x14ac:dyDescent="0.35">
      <c r="A132" s="1" t="s">
        <v>18</v>
      </c>
      <c r="B132">
        <v>2025</v>
      </c>
      <c r="C132">
        <v>6</v>
      </c>
      <c r="D132">
        <v>1668087</v>
      </c>
      <c r="E132">
        <v>4191.9599999999991</v>
      </c>
      <c r="F132">
        <v>295</v>
      </c>
      <c r="G132">
        <v>5654.53</v>
      </c>
      <c r="H132" t="str">
        <f t="shared" si="4"/>
        <v>June</v>
      </c>
    </row>
    <row r="133" spans="1:8" x14ac:dyDescent="0.35">
      <c r="A133" s="1" t="s">
        <v>18</v>
      </c>
      <c r="B133">
        <v>2025</v>
      </c>
      <c r="C133">
        <v>7</v>
      </c>
      <c r="D133">
        <v>1440420</v>
      </c>
      <c r="E133">
        <v>4460.239999999998</v>
      </c>
      <c r="F133">
        <v>275</v>
      </c>
      <c r="G133">
        <v>5237.8900000000003</v>
      </c>
      <c r="H133" t="str">
        <f t="shared" si="4"/>
        <v>July</v>
      </c>
    </row>
    <row r="134" spans="1:8" x14ac:dyDescent="0.35">
      <c r="A134" s="1" t="s">
        <v>18</v>
      </c>
      <c r="B134">
        <v>2025</v>
      </c>
      <c r="C134">
        <v>8</v>
      </c>
      <c r="D134">
        <v>1793020</v>
      </c>
      <c r="E134">
        <v>4396.0899999999983</v>
      </c>
      <c r="F134">
        <v>374</v>
      </c>
      <c r="G134">
        <v>4794.17</v>
      </c>
      <c r="H134" t="str">
        <f t="shared" si="4"/>
        <v>August</v>
      </c>
    </row>
    <row r="135" spans="1:8" x14ac:dyDescent="0.35">
      <c r="A135" s="1" t="s">
        <v>18</v>
      </c>
      <c r="B135">
        <v>2025</v>
      </c>
      <c r="C135">
        <v>9</v>
      </c>
      <c r="D135">
        <v>1624852</v>
      </c>
      <c r="E135">
        <v>3649.7900000000013</v>
      </c>
      <c r="F135">
        <v>322</v>
      </c>
      <c r="G135">
        <v>5046.12</v>
      </c>
      <c r="H135" t="str">
        <f t="shared" si="4"/>
        <v>September</v>
      </c>
    </row>
    <row r="136" spans="1:8" x14ac:dyDescent="0.35">
      <c r="A136" s="1" t="s">
        <v>18</v>
      </c>
      <c r="B136">
        <v>2025</v>
      </c>
      <c r="C136">
        <v>10</v>
      </c>
      <c r="D136">
        <v>2225058</v>
      </c>
      <c r="E136">
        <v>9493.8200000000088</v>
      </c>
      <c r="F136">
        <v>398</v>
      </c>
      <c r="G136">
        <v>5590.6</v>
      </c>
      <c r="H136" t="str">
        <f t="shared" si="4"/>
        <v>October</v>
      </c>
    </row>
    <row r="137" spans="1:8" x14ac:dyDescent="0.35">
      <c r="A137" s="1" t="s">
        <v>18</v>
      </c>
      <c r="B137">
        <v>2025</v>
      </c>
      <c r="C137">
        <v>11</v>
      </c>
      <c r="D137">
        <v>1228540</v>
      </c>
      <c r="E137">
        <v>2511.3999999999987</v>
      </c>
      <c r="F137">
        <v>277</v>
      </c>
      <c r="G137">
        <v>4435.16</v>
      </c>
      <c r="H137" t="str">
        <f t="shared" si="4"/>
        <v>November</v>
      </c>
    </row>
    <row r="138" spans="1:8" x14ac:dyDescent="0.35">
      <c r="A138" s="1" t="s">
        <v>18</v>
      </c>
      <c r="B138">
        <v>2025</v>
      </c>
      <c r="C138">
        <v>12</v>
      </c>
      <c r="D138">
        <v>2229975</v>
      </c>
      <c r="E138">
        <v>5267.37</v>
      </c>
      <c r="F138">
        <v>377</v>
      </c>
      <c r="G138">
        <v>5915.05</v>
      </c>
      <c r="H138" t="str">
        <f t="shared" si="4"/>
        <v>December</v>
      </c>
    </row>
    <row r="139" spans="1:8" x14ac:dyDescent="0.35">
      <c r="A139" s="1" t="s">
        <v>18</v>
      </c>
      <c r="B139">
        <v>2026</v>
      </c>
      <c r="C139">
        <v>1</v>
      </c>
      <c r="D139">
        <v>3014445</v>
      </c>
      <c r="E139">
        <v>20963.949999999993</v>
      </c>
      <c r="F139">
        <v>444</v>
      </c>
      <c r="G139">
        <v>6789.29</v>
      </c>
      <c r="H139" t="str">
        <f t="shared" si="4"/>
        <v>January</v>
      </c>
    </row>
    <row r="140" spans="1:8" x14ac:dyDescent="0.35">
      <c r="A140" s="1" t="s">
        <v>18</v>
      </c>
      <c r="B140">
        <v>2026</v>
      </c>
      <c r="C140">
        <v>2</v>
      </c>
      <c r="D140">
        <v>819728</v>
      </c>
      <c r="E140">
        <v>1382.5500000000002</v>
      </c>
      <c r="F140">
        <v>134</v>
      </c>
      <c r="G140">
        <v>6117.37</v>
      </c>
      <c r="H140" t="str">
        <f t="shared" si="4"/>
        <v>February</v>
      </c>
    </row>
    <row r="141" spans="1:8" x14ac:dyDescent="0.35">
      <c r="A141" s="1" t="s">
        <v>19</v>
      </c>
      <c r="B141">
        <v>2025</v>
      </c>
      <c r="C141">
        <v>1</v>
      </c>
      <c r="D141">
        <v>1008620</v>
      </c>
      <c r="E141">
        <v>3167.0899999999997</v>
      </c>
      <c r="F141">
        <v>208</v>
      </c>
      <c r="G141">
        <v>4849.13</v>
      </c>
      <c r="H141" t="str">
        <f t="shared" si="4"/>
        <v>January</v>
      </c>
    </row>
    <row r="142" spans="1:8" x14ac:dyDescent="0.35">
      <c r="A142" s="1" t="s">
        <v>19</v>
      </c>
      <c r="B142">
        <v>2025</v>
      </c>
      <c r="C142">
        <v>2</v>
      </c>
      <c r="D142">
        <v>978915</v>
      </c>
      <c r="E142">
        <v>2556.7489999999984</v>
      </c>
      <c r="F142">
        <v>254</v>
      </c>
      <c r="G142">
        <v>3854</v>
      </c>
      <c r="H142" t="str">
        <f t="shared" si="4"/>
        <v>February</v>
      </c>
    </row>
    <row r="143" spans="1:8" x14ac:dyDescent="0.35">
      <c r="A143" s="1" t="s">
        <v>19</v>
      </c>
      <c r="B143">
        <v>2025</v>
      </c>
      <c r="C143">
        <v>3</v>
      </c>
      <c r="D143">
        <v>202420</v>
      </c>
      <c r="E143">
        <v>499.06999999999988</v>
      </c>
      <c r="F143">
        <v>52</v>
      </c>
      <c r="G143">
        <v>3892.69</v>
      </c>
      <c r="H143" t="str">
        <f t="shared" si="4"/>
        <v>March</v>
      </c>
    </row>
    <row r="144" spans="1:8" x14ac:dyDescent="0.35">
      <c r="A144" s="1" t="s">
        <v>20</v>
      </c>
      <c r="B144">
        <v>2025</v>
      </c>
      <c r="C144">
        <v>1</v>
      </c>
      <c r="D144">
        <v>1380095</v>
      </c>
      <c r="E144">
        <v>3267.8300000000013</v>
      </c>
      <c r="F144">
        <v>316</v>
      </c>
      <c r="G144">
        <v>4367.3900000000003</v>
      </c>
      <c r="H144" t="str">
        <f t="shared" si="4"/>
        <v>January</v>
      </c>
    </row>
    <row r="145" spans="1:8" x14ac:dyDescent="0.35">
      <c r="A145" s="1" t="s">
        <v>20</v>
      </c>
      <c r="B145">
        <v>2025</v>
      </c>
      <c r="C145">
        <v>2</v>
      </c>
      <c r="D145">
        <v>2341870</v>
      </c>
      <c r="E145">
        <v>6827.7690000000093</v>
      </c>
      <c r="F145">
        <v>493</v>
      </c>
      <c r="G145">
        <v>4750.24</v>
      </c>
      <c r="H145" t="str">
        <f t="shared" si="4"/>
        <v>February</v>
      </c>
    </row>
    <row r="146" spans="1:8" x14ac:dyDescent="0.35">
      <c r="A146" s="1" t="s">
        <v>20</v>
      </c>
      <c r="B146">
        <v>2025</v>
      </c>
      <c r="C146">
        <v>3</v>
      </c>
      <c r="D146">
        <v>3165685</v>
      </c>
      <c r="E146">
        <v>17606.850000000042</v>
      </c>
      <c r="F146">
        <v>641</v>
      </c>
      <c r="G146">
        <v>4938.67</v>
      </c>
      <c r="H146" t="str">
        <f t="shared" si="4"/>
        <v>March</v>
      </c>
    </row>
    <row r="147" spans="1:8" x14ac:dyDescent="0.35">
      <c r="A147" s="1" t="s">
        <v>20</v>
      </c>
      <c r="B147">
        <v>2025</v>
      </c>
      <c r="C147">
        <v>4</v>
      </c>
      <c r="D147">
        <v>3610485</v>
      </c>
      <c r="E147">
        <v>9623.350000000004</v>
      </c>
      <c r="F147">
        <v>605</v>
      </c>
      <c r="G147">
        <v>5967.74</v>
      </c>
      <c r="H147" t="str">
        <f t="shared" si="4"/>
        <v>April</v>
      </c>
    </row>
    <row r="148" spans="1:8" x14ac:dyDescent="0.35">
      <c r="A148" s="1" t="s">
        <v>20</v>
      </c>
      <c r="B148">
        <v>2025</v>
      </c>
      <c r="C148">
        <v>5</v>
      </c>
      <c r="D148">
        <v>3802280</v>
      </c>
      <c r="E148">
        <v>10020.650000000005</v>
      </c>
      <c r="F148">
        <v>724</v>
      </c>
      <c r="G148">
        <v>5251.77</v>
      </c>
      <c r="H148" t="str">
        <f t="shared" si="4"/>
        <v>May</v>
      </c>
    </row>
    <row r="149" spans="1:8" x14ac:dyDescent="0.35">
      <c r="A149" s="1" t="s">
        <v>20</v>
      </c>
      <c r="B149">
        <v>2025</v>
      </c>
      <c r="C149">
        <v>6</v>
      </c>
      <c r="D149">
        <v>2498220</v>
      </c>
      <c r="E149">
        <v>6339.0299999999961</v>
      </c>
      <c r="F149">
        <v>500</v>
      </c>
      <c r="G149">
        <v>4996.4399999999996</v>
      </c>
      <c r="H149" t="str">
        <f t="shared" si="4"/>
        <v>June</v>
      </c>
    </row>
    <row r="150" spans="1:8" x14ac:dyDescent="0.35">
      <c r="A150" s="1" t="s">
        <v>20</v>
      </c>
      <c r="B150">
        <v>2025</v>
      </c>
      <c r="C150">
        <v>7</v>
      </c>
      <c r="D150">
        <v>1843320</v>
      </c>
      <c r="E150">
        <v>6694.5200000000041</v>
      </c>
      <c r="F150">
        <v>380</v>
      </c>
      <c r="G150">
        <v>4850.84</v>
      </c>
      <c r="H150" t="str">
        <f t="shared" si="4"/>
        <v>July</v>
      </c>
    </row>
    <row r="151" spans="1:8" x14ac:dyDescent="0.35">
      <c r="A151" s="1" t="s">
        <v>20</v>
      </c>
      <c r="B151">
        <v>2025</v>
      </c>
      <c r="C151">
        <v>8</v>
      </c>
      <c r="D151">
        <v>1778245</v>
      </c>
      <c r="E151">
        <v>4347.220000000003</v>
      </c>
      <c r="F151">
        <v>382</v>
      </c>
      <c r="G151">
        <v>4655.09</v>
      </c>
      <c r="H151" t="str">
        <f t="shared" si="4"/>
        <v>August</v>
      </c>
    </row>
    <row r="152" spans="1:8" x14ac:dyDescent="0.35">
      <c r="A152" s="1" t="s">
        <v>20</v>
      </c>
      <c r="B152">
        <v>2025</v>
      </c>
      <c r="C152">
        <v>9</v>
      </c>
      <c r="D152">
        <v>2398340</v>
      </c>
      <c r="E152">
        <v>8357.2100000000028</v>
      </c>
      <c r="F152">
        <v>406</v>
      </c>
      <c r="G152">
        <v>5907.24</v>
      </c>
      <c r="H152" t="str">
        <f t="shared" si="4"/>
        <v>September</v>
      </c>
    </row>
    <row r="153" spans="1:8" x14ac:dyDescent="0.35">
      <c r="A153" s="1" t="s">
        <v>20</v>
      </c>
      <c r="B153">
        <v>2025</v>
      </c>
      <c r="C153">
        <v>10</v>
      </c>
      <c r="D153">
        <v>3729900</v>
      </c>
      <c r="E153">
        <v>23377.519999999997</v>
      </c>
      <c r="F153">
        <v>540</v>
      </c>
      <c r="G153">
        <v>6907.22</v>
      </c>
      <c r="H153" t="str">
        <f t="shared" si="4"/>
        <v>October</v>
      </c>
    </row>
    <row r="154" spans="1:8" x14ac:dyDescent="0.35">
      <c r="A154" s="1" t="s">
        <v>20</v>
      </c>
      <c r="B154">
        <v>2025</v>
      </c>
      <c r="C154">
        <v>11</v>
      </c>
      <c r="D154">
        <v>2022695</v>
      </c>
      <c r="E154">
        <v>6282.5599999999995</v>
      </c>
      <c r="F154">
        <v>352</v>
      </c>
      <c r="G154">
        <v>5746.29</v>
      </c>
      <c r="H154" t="str">
        <f t="shared" si="4"/>
        <v>November</v>
      </c>
    </row>
    <row r="155" spans="1:8" x14ac:dyDescent="0.35">
      <c r="A155" s="1" t="s">
        <v>20</v>
      </c>
      <c r="B155">
        <v>2025</v>
      </c>
      <c r="C155">
        <v>12</v>
      </c>
      <c r="D155">
        <v>2188330</v>
      </c>
      <c r="E155">
        <v>8125.0500000000029</v>
      </c>
      <c r="F155">
        <v>344</v>
      </c>
      <c r="G155">
        <v>6361.42</v>
      </c>
      <c r="H155" t="str">
        <f t="shared" si="4"/>
        <v>December</v>
      </c>
    </row>
    <row r="156" spans="1:8" x14ac:dyDescent="0.35">
      <c r="A156" s="1" t="s">
        <v>20</v>
      </c>
      <c r="B156">
        <v>2026</v>
      </c>
      <c r="C156">
        <v>1</v>
      </c>
      <c r="D156">
        <v>5069155</v>
      </c>
      <c r="E156">
        <v>69860.170000000013</v>
      </c>
      <c r="F156">
        <v>513</v>
      </c>
      <c r="G156">
        <v>9881.39</v>
      </c>
      <c r="H156" t="str">
        <f t="shared" si="4"/>
        <v>January</v>
      </c>
    </row>
    <row r="157" spans="1:8" x14ac:dyDescent="0.35">
      <c r="A157" s="1" t="s">
        <v>20</v>
      </c>
      <c r="B157">
        <v>2026</v>
      </c>
      <c r="C157">
        <v>2</v>
      </c>
      <c r="D157">
        <v>1520935</v>
      </c>
      <c r="E157">
        <v>2571.5499999999979</v>
      </c>
      <c r="F157">
        <v>215</v>
      </c>
      <c r="G157">
        <v>7074.12</v>
      </c>
      <c r="H157" t="str">
        <f t="shared" si="4"/>
        <v>February</v>
      </c>
    </row>
    <row r="158" spans="1:8" x14ac:dyDescent="0.35">
      <c r="A158" s="1" t="s">
        <v>21</v>
      </c>
      <c r="B158">
        <v>2025</v>
      </c>
      <c r="C158">
        <v>1</v>
      </c>
      <c r="D158">
        <v>385235</v>
      </c>
      <c r="E158">
        <v>959.23</v>
      </c>
      <c r="F158">
        <v>88</v>
      </c>
      <c r="G158">
        <v>4377.67</v>
      </c>
      <c r="H158" t="str">
        <f t="shared" si="4"/>
        <v>January</v>
      </c>
    </row>
    <row r="159" spans="1:8" x14ac:dyDescent="0.35">
      <c r="A159" s="1" t="s">
        <v>21</v>
      </c>
      <c r="B159">
        <v>2025</v>
      </c>
      <c r="C159">
        <v>2</v>
      </c>
      <c r="D159">
        <v>320782</v>
      </c>
      <c r="E159">
        <v>865.28</v>
      </c>
      <c r="F159">
        <v>104</v>
      </c>
      <c r="G159">
        <v>3084.44</v>
      </c>
      <c r="H159" t="str">
        <f t="shared" si="4"/>
        <v>February</v>
      </c>
    </row>
    <row r="160" spans="1:8" x14ac:dyDescent="0.35">
      <c r="A160" s="1" t="s">
        <v>21</v>
      </c>
      <c r="B160">
        <v>2025</v>
      </c>
      <c r="C160">
        <v>3</v>
      </c>
      <c r="D160">
        <v>75290</v>
      </c>
      <c r="E160">
        <v>205.83</v>
      </c>
      <c r="F160">
        <v>23</v>
      </c>
      <c r="G160">
        <v>3273.48</v>
      </c>
      <c r="H160" t="str">
        <f t="shared" si="4"/>
        <v>March</v>
      </c>
    </row>
    <row r="161" spans="1:8" x14ac:dyDescent="0.35">
      <c r="A161" s="1" t="s">
        <v>22</v>
      </c>
      <c r="B161">
        <v>2025</v>
      </c>
      <c r="C161">
        <v>1</v>
      </c>
      <c r="D161">
        <v>20421.169999999998</v>
      </c>
      <c r="E161">
        <v>331.40000000000003</v>
      </c>
      <c r="F161">
        <v>9</v>
      </c>
      <c r="G161">
        <v>2269.02</v>
      </c>
      <c r="H161" t="str">
        <f t="shared" si="4"/>
        <v>January</v>
      </c>
    </row>
    <row r="162" spans="1:8" x14ac:dyDescent="0.35">
      <c r="A162" s="1" t="s">
        <v>22</v>
      </c>
      <c r="B162">
        <v>2025</v>
      </c>
      <c r="C162">
        <v>2</v>
      </c>
      <c r="D162">
        <v>264331.7</v>
      </c>
      <c r="E162">
        <v>4989.3500000000067</v>
      </c>
      <c r="F162">
        <v>55</v>
      </c>
      <c r="G162">
        <v>4806.03</v>
      </c>
      <c r="H162" t="str">
        <f t="shared" ref="H162:H189" si="5">TEXT(DATE(2025,C162,1),"mmmm")</f>
        <v>February</v>
      </c>
    </row>
    <row r="163" spans="1:8" x14ac:dyDescent="0.35">
      <c r="A163" s="1" t="s">
        <v>22</v>
      </c>
      <c r="B163">
        <v>2025</v>
      </c>
      <c r="C163">
        <v>3</v>
      </c>
      <c r="D163">
        <v>359000.29000000027</v>
      </c>
      <c r="E163">
        <v>16985.349999999995</v>
      </c>
      <c r="F163">
        <v>76</v>
      </c>
      <c r="G163">
        <v>4723.6899999999996</v>
      </c>
      <c r="H163" t="str">
        <f t="shared" si="5"/>
        <v>March</v>
      </c>
    </row>
    <row r="164" spans="1:8" x14ac:dyDescent="0.35">
      <c r="A164" s="1" t="s">
        <v>22</v>
      </c>
      <c r="B164">
        <v>2025</v>
      </c>
      <c r="C164">
        <v>4</v>
      </c>
      <c r="D164">
        <v>705558.57999999938</v>
      </c>
      <c r="E164">
        <v>18660.179999999997</v>
      </c>
      <c r="F164">
        <v>106</v>
      </c>
      <c r="G164">
        <v>6656.21</v>
      </c>
      <c r="H164" t="str">
        <f t="shared" si="5"/>
        <v>April</v>
      </c>
    </row>
    <row r="165" spans="1:8" x14ac:dyDescent="0.35">
      <c r="A165" s="1" t="s">
        <v>22</v>
      </c>
      <c r="B165">
        <v>2025</v>
      </c>
      <c r="C165">
        <v>5</v>
      </c>
      <c r="D165">
        <v>366364.6999999999</v>
      </c>
      <c r="E165">
        <v>8350.7099999999973</v>
      </c>
      <c r="F165">
        <v>59</v>
      </c>
      <c r="G165">
        <v>6209.57</v>
      </c>
      <c r="H165" t="str">
        <f t="shared" si="5"/>
        <v>May</v>
      </c>
    </row>
    <row r="166" spans="1:8" x14ac:dyDescent="0.35">
      <c r="A166" s="1" t="s">
        <v>22</v>
      </c>
      <c r="B166">
        <v>2025</v>
      </c>
      <c r="C166">
        <v>6</v>
      </c>
      <c r="D166">
        <v>199906.51000000004</v>
      </c>
      <c r="E166">
        <v>3336.3499999999985</v>
      </c>
      <c r="F166">
        <v>52</v>
      </c>
      <c r="G166">
        <v>3844.36</v>
      </c>
      <c r="H166" t="str">
        <f t="shared" si="5"/>
        <v>June</v>
      </c>
    </row>
    <row r="167" spans="1:8" x14ac:dyDescent="0.35">
      <c r="A167" s="1" t="s">
        <v>22</v>
      </c>
      <c r="B167">
        <v>2025</v>
      </c>
      <c r="C167">
        <v>7</v>
      </c>
      <c r="D167">
        <v>266577.81000000011</v>
      </c>
      <c r="E167">
        <v>3535.18</v>
      </c>
      <c r="F167">
        <v>47</v>
      </c>
      <c r="G167">
        <v>5671.87</v>
      </c>
      <c r="H167" t="str">
        <f t="shared" si="5"/>
        <v>July</v>
      </c>
    </row>
    <row r="168" spans="1:8" x14ac:dyDescent="0.35">
      <c r="A168" s="1" t="s">
        <v>22</v>
      </c>
      <c r="B168">
        <v>2025</v>
      </c>
      <c r="C168">
        <v>8</v>
      </c>
      <c r="D168">
        <v>281263.91999999987</v>
      </c>
      <c r="E168">
        <v>2911.8199999999997</v>
      </c>
      <c r="F168">
        <v>37</v>
      </c>
      <c r="G168">
        <v>7601.73</v>
      </c>
      <c r="H168" t="str">
        <f t="shared" si="5"/>
        <v>August</v>
      </c>
    </row>
    <row r="169" spans="1:8" x14ac:dyDescent="0.35">
      <c r="A169" s="1" t="s">
        <v>22</v>
      </c>
      <c r="B169">
        <v>2025</v>
      </c>
      <c r="C169">
        <v>9</v>
      </c>
      <c r="D169">
        <v>283844.36999999994</v>
      </c>
      <c r="E169">
        <v>4359.8500000000004</v>
      </c>
      <c r="F169">
        <v>31</v>
      </c>
      <c r="G169">
        <v>9156.27</v>
      </c>
      <c r="H169" t="str">
        <f t="shared" si="5"/>
        <v>September</v>
      </c>
    </row>
    <row r="170" spans="1:8" x14ac:dyDescent="0.35">
      <c r="A170" s="1" t="s">
        <v>22</v>
      </c>
      <c r="B170">
        <v>2025</v>
      </c>
      <c r="C170">
        <v>10</v>
      </c>
      <c r="D170">
        <v>1318817.3499999996</v>
      </c>
      <c r="E170">
        <v>55887.619999999981</v>
      </c>
      <c r="F170">
        <v>120</v>
      </c>
      <c r="G170">
        <v>10990.14</v>
      </c>
      <c r="H170" t="str">
        <f t="shared" si="5"/>
        <v>October</v>
      </c>
    </row>
    <row r="171" spans="1:8" x14ac:dyDescent="0.35">
      <c r="A171" s="1" t="s">
        <v>22</v>
      </c>
      <c r="B171">
        <v>2025</v>
      </c>
      <c r="C171">
        <v>11</v>
      </c>
      <c r="D171">
        <v>214139.21</v>
      </c>
      <c r="E171">
        <v>515.87</v>
      </c>
      <c r="F171">
        <v>32</v>
      </c>
      <c r="G171">
        <v>6691.85</v>
      </c>
      <c r="H171" t="str">
        <f t="shared" si="5"/>
        <v>November</v>
      </c>
    </row>
    <row r="172" spans="1:8" x14ac:dyDescent="0.35">
      <c r="A172" s="1" t="s">
        <v>22</v>
      </c>
      <c r="B172">
        <v>2025</v>
      </c>
      <c r="C172">
        <v>12</v>
      </c>
      <c r="D172">
        <v>227372.79</v>
      </c>
      <c r="E172">
        <v>11017.060000000001</v>
      </c>
      <c r="F172">
        <v>60</v>
      </c>
      <c r="G172">
        <v>3789.55</v>
      </c>
      <c r="H172" t="str">
        <f t="shared" si="5"/>
        <v>December</v>
      </c>
    </row>
    <row r="173" spans="1:8" x14ac:dyDescent="0.35">
      <c r="A173" s="1" t="s">
        <v>22</v>
      </c>
      <c r="B173">
        <v>2026</v>
      </c>
      <c r="C173">
        <v>1</v>
      </c>
      <c r="D173">
        <v>7490332.9800000004</v>
      </c>
      <c r="E173">
        <v>543238.50999999989</v>
      </c>
      <c r="F173">
        <v>207</v>
      </c>
      <c r="G173">
        <v>36185.18</v>
      </c>
      <c r="H173" t="str">
        <f t="shared" si="5"/>
        <v>January</v>
      </c>
    </row>
    <row r="174" spans="1:8" x14ac:dyDescent="0.35">
      <c r="A174" s="1" t="s">
        <v>22</v>
      </c>
      <c r="B174">
        <v>2026</v>
      </c>
      <c r="C174">
        <v>2</v>
      </c>
      <c r="D174">
        <v>3224276.439999999</v>
      </c>
      <c r="E174">
        <v>99077.050000000032</v>
      </c>
      <c r="F174">
        <v>105</v>
      </c>
      <c r="G174">
        <v>30707.39</v>
      </c>
      <c r="H174" t="str">
        <f t="shared" si="5"/>
        <v>February</v>
      </c>
    </row>
    <row r="175" spans="1:8" x14ac:dyDescent="0.35">
      <c r="A175" s="1" t="s">
        <v>23</v>
      </c>
      <c r="B175">
        <v>2025</v>
      </c>
      <c r="C175">
        <v>1</v>
      </c>
      <c r="D175">
        <v>865905</v>
      </c>
      <c r="E175">
        <v>1648.1399999999992</v>
      </c>
      <c r="F175">
        <v>228</v>
      </c>
      <c r="G175">
        <v>3797.83</v>
      </c>
      <c r="H175" t="str">
        <f t="shared" si="5"/>
        <v>January</v>
      </c>
    </row>
    <row r="176" spans="1:8" x14ac:dyDescent="0.35">
      <c r="A176" s="1" t="s">
        <v>23</v>
      </c>
      <c r="B176">
        <v>2025</v>
      </c>
      <c r="C176">
        <v>2</v>
      </c>
      <c r="D176">
        <v>1508399</v>
      </c>
      <c r="E176">
        <v>4351.3599999999988</v>
      </c>
      <c r="F176">
        <v>326</v>
      </c>
      <c r="G176">
        <v>4626.99</v>
      </c>
      <c r="H176" t="str">
        <f t="shared" si="5"/>
        <v>February</v>
      </c>
    </row>
    <row r="177" spans="1:8" x14ac:dyDescent="0.35">
      <c r="A177" s="1" t="s">
        <v>23</v>
      </c>
      <c r="B177">
        <v>2025</v>
      </c>
      <c r="C177">
        <v>3</v>
      </c>
      <c r="D177">
        <v>2437358</v>
      </c>
      <c r="E177">
        <v>6683.4000000000033</v>
      </c>
      <c r="F177">
        <v>424</v>
      </c>
      <c r="G177">
        <v>5748.49</v>
      </c>
      <c r="H177" t="str">
        <f t="shared" si="5"/>
        <v>March</v>
      </c>
    </row>
    <row r="178" spans="1:8" x14ac:dyDescent="0.35">
      <c r="A178" s="1" t="s">
        <v>23</v>
      </c>
      <c r="B178">
        <v>2025</v>
      </c>
      <c r="C178">
        <v>4</v>
      </c>
      <c r="D178">
        <v>2834058</v>
      </c>
      <c r="E178">
        <v>12388.739999999989</v>
      </c>
      <c r="F178">
        <v>450</v>
      </c>
      <c r="G178">
        <v>6297.91</v>
      </c>
      <c r="H178" t="str">
        <f t="shared" si="5"/>
        <v>April</v>
      </c>
    </row>
    <row r="179" spans="1:8" x14ac:dyDescent="0.35">
      <c r="A179" s="1" t="s">
        <v>23</v>
      </c>
      <c r="B179">
        <v>2025</v>
      </c>
      <c r="C179">
        <v>5</v>
      </c>
      <c r="D179">
        <v>3126763</v>
      </c>
      <c r="E179">
        <v>8054.8700000000081</v>
      </c>
      <c r="F179">
        <v>520</v>
      </c>
      <c r="G179">
        <v>6013.01</v>
      </c>
      <c r="H179" t="str">
        <f t="shared" si="5"/>
        <v>May</v>
      </c>
    </row>
    <row r="180" spans="1:8" x14ac:dyDescent="0.35">
      <c r="A180" s="1" t="s">
        <v>23</v>
      </c>
      <c r="B180">
        <v>2025</v>
      </c>
      <c r="C180">
        <v>6</v>
      </c>
      <c r="D180">
        <v>2119346</v>
      </c>
      <c r="E180">
        <v>6304.5200000000023</v>
      </c>
      <c r="F180">
        <v>341</v>
      </c>
      <c r="G180">
        <v>6215.09</v>
      </c>
      <c r="H180" t="str">
        <f t="shared" si="5"/>
        <v>June</v>
      </c>
    </row>
    <row r="181" spans="1:8" x14ac:dyDescent="0.35">
      <c r="A181" s="1" t="s">
        <v>23</v>
      </c>
      <c r="B181">
        <v>2025</v>
      </c>
      <c r="C181">
        <v>7</v>
      </c>
      <c r="D181">
        <v>1475297</v>
      </c>
      <c r="E181">
        <v>3877.9599999999987</v>
      </c>
      <c r="F181">
        <v>289</v>
      </c>
      <c r="G181">
        <v>5104.83</v>
      </c>
      <c r="H181" t="str">
        <f t="shared" si="5"/>
        <v>July</v>
      </c>
    </row>
    <row r="182" spans="1:8" x14ac:dyDescent="0.35">
      <c r="A182" s="1" t="s">
        <v>23</v>
      </c>
      <c r="B182">
        <v>2025</v>
      </c>
      <c r="C182">
        <v>8</v>
      </c>
      <c r="D182">
        <v>1388511</v>
      </c>
      <c r="E182">
        <v>3414.5499999999984</v>
      </c>
      <c r="F182">
        <v>258</v>
      </c>
      <c r="G182">
        <v>5381.83</v>
      </c>
      <c r="H182" t="str">
        <f t="shared" si="5"/>
        <v>August</v>
      </c>
    </row>
    <row r="183" spans="1:8" x14ac:dyDescent="0.35">
      <c r="A183" s="1" t="s">
        <v>23</v>
      </c>
      <c r="B183">
        <v>2025</v>
      </c>
      <c r="C183">
        <v>9</v>
      </c>
      <c r="D183">
        <v>2860385</v>
      </c>
      <c r="E183">
        <v>6522.0499999999965</v>
      </c>
      <c r="F183">
        <v>324</v>
      </c>
      <c r="G183">
        <v>8828.35</v>
      </c>
      <c r="H183" t="str">
        <f t="shared" si="5"/>
        <v>September</v>
      </c>
    </row>
    <row r="184" spans="1:8" x14ac:dyDescent="0.35">
      <c r="A184" s="1" t="s">
        <v>23</v>
      </c>
      <c r="B184">
        <v>2025</v>
      </c>
      <c r="C184">
        <v>10</v>
      </c>
      <c r="D184">
        <v>2793779.5</v>
      </c>
      <c r="E184">
        <v>44127.659999999989</v>
      </c>
      <c r="F184">
        <v>402</v>
      </c>
      <c r="G184">
        <v>6949.7</v>
      </c>
      <c r="H184" t="str">
        <f t="shared" si="5"/>
        <v>October</v>
      </c>
    </row>
    <row r="185" spans="1:8" x14ac:dyDescent="0.35">
      <c r="A185" s="1" t="s">
        <v>23</v>
      </c>
      <c r="B185">
        <v>2025</v>
      </c>
      <c r="C185">
        <v>11</v>
      </c>
      <c r="D185">
        <v>1253686.05</v>
      </c>
      <c r="E185">
        <v>2527.2899999999995</v>
      </c>
      <c r="F185">
        <v>239</v>
      </c>
      <c r="G185">
        <v>5245.55</v>
      </c>
      <c r="H185" t="str">
        <f t="shared" si="5"/>
        <v>November</v>
      </c>
    </row>
    <row r="186" spans="1:8" x14ac:dyDescent="0.35">
      <c r="A186" s="1" t="s">
        <v>23</v>
      </c>
      <c r="B186">
        <v>2025</v>
      </c>
      <c r="C186">
        <v>12</v>
      </c>
      <c r="D186">
        <v>1641887</v>
      </c>
      <c r="E186">
        <v>5116.6299999999992</v>
      </c>
      <c r="F186">
        <v>288</v>
      </c>
      <c r="G186">
        <v>5701</v>
      </c>
      <c r="H186" t="str">
        <f t="shared" si="5"/>
        <v>December</v>
      </c>
    </row>
    <row r="187" spans="1:8" x14ac:dyDescent="0.35">
      <c r="A187" s="1" t="s">
        <v>23</v>
      </c>
      <c r="B187">
        <v>2026</v>
      </c>
      <c r="C187">
        <v>1</v>
      </c>
      <c r="D187">
        <v>2633056</v>
      </c>
      <c r="E187">
        <v>32723.189999999981</v>
      </c>
      <c r="F187">
        <v>370</v>
      </c>
      <c r="G187">
        <v>7116.37</v>
      </c>
      <c r="H187" t="str">
        <f t="shared" si="5"/>
        <v>January</v>
      </c>
    </row>
    <row r="188" spans="1:8" x14ac:dyDescent="0.35">
      <c r="A188" s="1" t="s">
        <v>23</v>
      </c>
      <c r="B188">
        <v>2026</v>
      </c>
      <c r="C188">
        <v>2</v>
      </c>
      <c r="D188">
        <v>1140334</v>
      </c>
      <c r="E188">
        <v>3087.12</v>
      </c>
      <c r="F188">
        <v>117</v>
      </c>
      <c r="G188">
        <v>9746.44</v>
      </c>
      <c r="H188" t="str">
        <f t="shared" si="5"/>
        <v>February</v>
      </c>
    </row>
    <row r="189" spans="1:8" x14ac:dyDescent="0.35">
      <c r="A189" s="1" t="s">
        <v>24</v>
      </c>
      <c r="B189">
        <v>2026</v>
      </c>
      <c r="C189">
        <v>1</v>
      </c>
      <c r="D189">
        <v>196800</v>
      </c>
      <c r="E189">
        <v>14000</v>
      </c>
      <c r="F189">
        <v>5</v>
      </c>
      <c r="G189">
        <v>39360</v>
      </c>
      <c r="H189" t="str">
        <f t="shared" si="5"/>
        <v>January</v>
      </c>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xr2:uid="{85736791-220E-4C67-9FC3-2584601C47A5}">
          <x14:colorSeries rgb="FF376092"/>
          <x14:colorNegative rgb="FFD00000"/>
          <x14:colorAxis rgb="FF000000"/>
          <x14:colorMarkers rgb="FFD00000"/>
          <x14:colorFirst rgb="FFD00000"/>
          <x14:colorLast rgb="FFD00000"/>
          <x14:colorHigh rgb="FFD00000"/>
          <x14:colorLow rgb="FFD00000"/>
          <x14:sparklines>
            <x14:sparkline>
              <xm:f>Branch_Revenue_Data!D2:D189</xm:f>
              <xm:sqref>I3</xm:sqref>
            </x14:sparkline>
            <x14:sparkline>
              <xm:f>Branch_Revenue_Data!D3:D190</xm:f>
              <xm:sqref>I4</xm:sqref>
            </x14:sparkline>
            <x14:sparkline>
              <xm:f>Branch_Revenue_Data!D4:D191</xm:f>
              <xm:sqref>I5</xm:sqref>
            </x14:sparkline>
            <x14:sparkline>
              <xm:f>Branch_Revenue_Data!D5:D192</xm:f>
              <xm:sqref>I6</xm:sqref>
            </x14:sparkline>
            <x14:sparkline>
              <xm:f>Branch_Revenue_Data!D6:D193</xm:f>
              <xm:sqref>I7</xm:sqref>
            </x14:sparkline>
            <x14:sparkline>
              <xm:f>Branch_Revenue_Data!D7:D194</xm:f>
              <xm:sqref>I8</xm:sqref>
            </x14:sparkline>
            <x14:sparkline>
              <xm:f>Branch_Revenue_Data!D8:D195</xm:f>
              <xm:sqref>I9</xm:sqref>
            </x14:sparkline>
            <x14:sparkline>
              <xm:f>Branch_Revenue_Data!D9:D196</xm:f>
              <xm:sqref>I10</xm:sqref>
            </x14:sparkline>
            <x14:sparkline>
              <xm:f>Branch_Revenue_Data!D10:D197</xm:f>
              <xm:sqref>I11</xm:sqref>
            </x14:sparkline>
            <x14:sparkline>
              <xm:f>Branch_Revenue_Data!D11:D198</xm:f>
              <xm:sqref>I12</xm:sqref>
            </x14:sparkline>
            <x14:sparkline>
              <xm:f>Branch_Revenue_Data!D12:D199</xm:f>
              <xm:sqref>I13</xm:sqref>
            </x14:sparkline>
            <x14:sparkline>
              <xm:f>Branch_Revenue_Data!D13:D200</xm:f>
              <xm:sqref>I14</xm:sqref>
            </x14:sparkline>
            <x14:sparkline>
              <xm:f>Branch_Revenue_Data!D14:D201</xm:f>
              <xm:sqref>I15</xm:sqref>
            </x14:sparkline>
            <x14:sparkline>
              <xm:f>Branch_Revenue_Data!D15:D202</xm:f>
              <xm:sqref>I16</xm:sqref>
            </x14:sparkline>
            <x14:sparkline>
              <xm:f>Branch_Revenue_Data!D16:D203</xm:f>
              <xm:sqref>I17</xm:sqref>
            </x14:sparkline>
            <x14:sparkline>
              <xm:f>Branch_Revenue_Data!D17:D204</xm:f>
              <xm:sqref>I18</xm:sqref>
            </x14:sparkline>
            <x14:sparkline>
              <xm:f>Branch_Revenue_Data!D18:D205</xm:f>
              <xm:sqref>I19</xm:sqref>
            </x14:sparkline>
            <x14:sparkline>
              <xm:f>Branch_Revenue_Data!D19:D206</xm:f>
              <xm:sqref>I20</xm:sqref>
            </x14:sparkline>
            <x14:sparkline>
              <xm:f>Branch_Revenue_Data!D20:D207</xm:f>
              <xm:sqref>I21</xm:sqref>
            </x14:sparkline>
            <x14:sparkline>
              <xm:f>Branch_Revenue_Data!D21:D208</xm:f>
              <xm:sqref>I22</xm:sqref>
            </x14:sparkline>
            <x14:sparkline>
              <xm:f>Branch_Revenue_Data!D22:D209</xm:f>
              <xm:sqref>I23</xm:sqref>
            </x14:sparkline>
            <x14:sparkline>
              <xm:f>Branch_Revenue_Data!D23:D210</xm:f>
              <xm:sqref>I24</xm:sqref>
            </x14:sparkline>
            <x14:sparkline>
              <xm:f>Branch_Revenue_Data!D24:D211</xm:f>
              <xm:sqref>I25</xm:sqref>
            </x14:sparkline>
            <x14:sparkline>
              <xm:f>Branch_Revenue_Data!D25:D212</xm:f>
              <xm:sqref>I26</xm:sqref>
            </x14:sparkline>
            <x14:sparkline>
              <xm:f>Branch_Revenue_Data!D26:D213</xm:f>
              <xm:sqref>I27</xm:sqref>
            </x14:sparkline>
            <x14:sparkline>
              <xm:f>Branch_Revenue_Data!D27:D214</xm:f>
              <xm:sqref>I28</xm:sqref>
            </x14:sparkline>
            <x14:sparkline>
              <xm:f>Branch_Revenue_Data!D28:D215</xm:f>
              <xm:sqref>I29</xm:sqref>
            </x14:sparkline>
            <x14:sparkline>
              <xm:f>Branch_Revenue_Data!D29:D216</xm:f>
              <xm:sqref>I30</xm:sqref>
            </x14:sparkline>
            <x14:sparkline>
              <xm:f>Branch_Revenue_Data!D30:D217</xm:f>
              <xm:sqref>I31</xm:sqref>
            </x14:sparkline>
            <x14:sparkline>
              <xm:f>Branch_Revenue_Data!D31:D218</xm:f>
              <xm:sqref>I32</xm:sqref>
            </x14:sparkline>
            <x14:sparkline>
              <xm:f>Branch_Revenue_Data!D32:D219</xm:f>
              <xm:sqref>I33</xm:sqref>
            </x14:sparkline>
            <x14:sparkline>
              <xm:f>Branch_Revenue_Data!D33:D220</xm:f>
              <xm:sqref>I34</xm:sqref>
            </x14:sparkline>
            <x14:sparkline>
              <xm:f>Branch_Revenue_Data!D34:D221</xm:f>
              <xm:sqref>I35</xm:sqref>
            </x14:sparkline>
            <x14:sparkline>
              <xm:f>Branch_Revenue_Data!D35:D222</xm:f>
              <xm:sqref>I36</xm:sqref>
            </x14:sparkline>
            <x14:sparkline>
              <xm:f>Branch_Revenue_Data!D36:D223</xm:f>
              <xm:sqref>I37</xm:sqref>
            </x14:sparkline>
            <x14:sparkline>
              <xm:f>Branch_Revenue_Data!D37:D224</xm:f>
              <xm:sqref>I38</xm:sqref>
            </x14:sparkline>
            <x14:sparkline>
              <xm:f>Branch_Revenue_Data!D38:D225</xm:f>
              <xm:sqref>I39</xm:sqref>
            </x14:sparkline>
            <x14:sparkline>
              <xm:f>Branch_Revenue_Data!D39:D226</xm:f>
              <xm:sqref>I40</xm:sqref>
            </x14:sparkline>
            <x14:sparkline>
              <xm:f>Branch_Revenue_Data!D40:D227</xm:f>
              <xm:sqref>I41</xm:sqref>
            </x14:sparkline>
            <x14:sparkline>
              <xm:f>Branch_Revenue_Data!D41:D228</xm:f>
              <xm:sqref>I42</xm:sqref>
            </x14:sparkline>
            <x14:sparkline>
              <xm:f>Branch_Revenue_Data!D42:D229</xm:f>
              <xm:sqref>I43</xm:sqref>
            </x14:sparkline>
            <x14:sparkline>
              <xm:f>Branch_Revenue_Data!D43:D230</xm:f>
              <xm:sqref>I44</xm:sqref>
            </x14:sparkline>
            <x14:sparkline>
              <xm:f>Branch_Revenue_Data!D44:D231</xm:f>
              <xm:sqref>I45</xm:sqref>
            </x14:sparkline>
            <x14:sparkline>
              <xm:f>Branch_Revenue_Data!D45:D232</xm:f>
              <xm:sqref>I46</xm:sqref>
            </x14:sparkline>
            <x14:sparkline>
              <xm:f>Branch_Revenue_Data!D46:D233</xm:f>
              <xm:sqref>I47</xm:sqref>
            </x14:sparkline>
            <x14:sparkline>
              <xm:f>Branch_Revenue_Data!D47:D234</xm:f>
              <xm:sqref>I48</xm:sqref>
            </x14:sparkline>
            <x14:sparkline>
              <xm:f>Branch_Revenue_Data!D48:D235</xm:f>
              <xm:sqref>I49</xm:sqref>
            </x14:sparkline>
            <x14:sparkline>
              <xm:f>Branch_Revenue_Data!D49:D236</xm:f>
              <xm:sqref>I50</xm:sqref>
            </x14:sparkline>
            <x14:sparkline>
              <xm:f>Branch_Revenue_Data!D50:D237</xm:f>
              <xm:sqref>I51</xm:sqref>
            </x14:sparkline>
            <x14:sparkline>
              <xm:f>Branch_Revenue_Data!D51:D238</xm:f>
              <xm:sqref>I52</xm:sqref>
            </x14:sparkline>
            <x14:sparkline>
              <xm:f>Branch_Revenue_Data!D52:D239</xm:f>
              <xm:sqref>I53</xm:sqref>
            </x14:sparkline>
            <x14:sparkline>
              <xm:f>Branch_Revenue_Data!D53:D240</xm:f>
              <xm:sqref>I54</xm:sqref>
            </x14:sparkline>
            <x14:sparkline>
              <xm:f>Branch_Revenue_Data!D54:D241</xm:f>
              <xm:sqref>I55</xm:sqref>
            </x14:sparkline>
            <x14:sparkline>
              <xm:f>Branch_Revenue_Data!D55:D242</xm:f>
              <xm:sqref>I56</xm:sqref>
            </x14:sparkline>
            <x14:sparkline>
              <xm:f>Branch_Revenue_Data!D56:D243</xm:f>
              <xm:sqref>I57</xm:sqref>
            </x14:sparkline>
            <x14:sparkline>
              <xm:f>Branch_Revenue_Data!D57:D244</xm:f>
              <xm:sqref>I58</xm:sqref>
            </x14:sparkline>
            <x14:sparkline>
              <xm:f>Branch_Revenue_Data!D58:D245</xm:f>
              <xm:sqref>I59</xm:sqref>
            </x14:sparkline>
            <x14:sparkline>
              <xm:f>Branch_Revenue_Data!D59:D246</xm:f>
              <xm:sqref>I60</xm:sqref>
            </x14:sparkline>
            <x14:sparkline>
              <xm:f>Branch_Revenue_Data!D60:D247</xm:f>
              <xm:sqref>I61</xm:sqref>
            </x14:sparkline>
            <x14:sparkline>
              <xm:f>Branch_Revenue_Data!D61:D248</xm:f>
              <xm:sqref>I62</xm:sqref>
            </x14:sparkline>
            <x14:sparkline>
              <xm:f>Branch_Revenue_Data!D62:D249</xm:f>
              <xm:sqref>I63</xm:sqref>
            </x14:sparkline>
            <x14:sparkline>
              <xm:f>Branch_Revenue_Data!D63:D250</xm:f>
              <xm:sqref>I64</xm:sqref>
            </x14:sparkline>
            <x14:sparkline>
              <xm:f>Branch_Revenue_Data!D64:D251</xm:f>
              <xm:sqref>I65</xm:sqref>
            </x14:sparkline>
            <x14:sparkline>
              <xm:f>Branch_Revenue_Data!D65:D252</xm:f>
              <xm:sqref>I66</xm:sqref>
            </x14:sparkline>
            <x14:sparkline>
              <xm:f>Branch_Revenue_Data!D66:D253</xm:f>
              <xm:sqref>I67</xm:sqref>
            </x14:sparkline>
            <x14:sparkline>
              <xm:f>Branch_Revenue_Data!D67:D254</xm:f>
              <xm:sqref>I68</xm:sqref>
            </x14:sparkline>
            <x14:sparkline>
              <xm:f>Branch_Revenue_Data!D68:D255</xm:f>
              <xm:sqref>I69</xm:sqref>
            </x14:sparkline>
            <x14:sparkline>
              <xm:f>Branch_Revenue_Data!D69:D256</xm:f>
              <xm:sqref>I70</xm:sqref>
            </x14:sparkline>
            <x14:sparkline>
              <xm:f>Branch_Revenue_Data!D70:D257</xm:f>
              <xm:sqref>I71</xm:sqref>
            </x14:sparkline>
            <x14:sparkline>
              <xm:f>Branch_Revenue_Data!D71:D258</xm:f>
              <xm:sqref>I72</xm:sqref>
            </x14:sparkline>
            <x14:sparkline>
              <xm:f>Branch_Revenue_Data!D72:D259</xm:f>
              <xm:sqref>I73</xm:sqref>
            </x14:sparkline>
            <x14:sparkline>
              <xm:f>Branch_Revenue_Data!D73:D260</xm:f>
              <xm:sqref>I74</xm:sqref>
            </x14:sparkline>
            <x14:sparkline>
              <xm:f>Branch_Revenue_Data!D74:D261</xm:f>
              <xm:sqref>I75</xm:sqref>
            </x14:sparkline>
            <x14:sparkline>
              <xm:f>Branch_Revenue_Data!D75:D262</xm:f>
              <xm:sqref>I76</xm:sqref>
            </x14:sparkline>
            <x14:sparkline>
              <xm:f>Branch_Revenue_Data!D76:D263</xm:f>
              <xm:sqref>I77</xm:sqref>
            </x14:sparkline>
            <x14:sparkline>
              <xm:f>Branch_Revenue_Data!D77:D264</xm:f>
              <xm:sqref>I78</xm:sqref>
            </x14:sparkline>
            <x14:sparkline>
              <xm:f>Branch_Revenue_Data!D78:D265</xm:f>
              <xm:sqref>I79</xm:sqref>
            </x14:sparkline>
            <x14:sparkline>
              <xm:f>Branch_Revenue_Data!D79:D266</xm:f>
              <xm:sqref>I80</xm:sqref>
            </x14:sparkline>
            <x14:sparkline>
              <xm:f>Branch_Revenue_Data!D80:D267</xm:f>
              <xm:sqref>I81</xm:sqref>
            </x14:sparkline>
            <x14:sparkline>
              <xm:f>Branch_Revenue_Data!D81:D268</xm:f>
              <xm:sqref>I82</xm:sqref>
            </x14:sparkline>
            <x14:sparkline>
              <xm:f>Branch_Revenue_Data!D82:D269</xm:f>
              <xm:sqref>I83</xm:sqref>
            </x14:sparkline>
            <x14:sparkline>
              <xm:f>Branch_Revenue_Data!D83:D270</xm:f>
              <xm:sqref>I84</xm:sqref>
            </x14:sparkline>
            <x14:sparkline>
              <xm:f>Branch_Revenue_Data!D84:D271</xm:f>
              <xm:sqref>I85</xm:sqref>
            </x14:sparkline>
            <x14:sparkline>
              <xm:f>Branch_Revenue_Data!D85:D272</xm:f>
              <xm:sqref>I86</xm:sqref>
            </x14:sparkline>
            <x14:sparkline>
              <xm:f>Branch_Revenue_Data!D86:D273</xm:f>
              <xm:sqref>I87</xm:sqref>
            </x14:sparkline>
            <x14:sparkline>
              <xm:f>Branch_Revenue_Data!D87:D274</xm:f>
              <xm:sqref>I88</xm:sqref>
            </x14:sparkline>
            <x14:sparkline>
              <xm:f>Branch_Revenue_Data!D88:D275</xm:f>
              <xm:sqref>I89</xm:sqref>
            </x14:sparkline>
            <x14:sparkline>
              <xm:f>Branch_Revenue_Data!D89:D276</xm:f>
              <xm:sqref>I90</xm:sqref>
            </x14:sparkline>
            <x14:sparkline>
              <xm:f>Branch_Revenue_Data!D90:D277</xm:f>
              <xm:sqref>I91</xm:sqref>
            </x14:sparkline>
            <x14:sparkline>
              <xm:f>Branch_Revenue_Data!D91:D278</xm:f>
              <xm:sqref>I92</xm:sqref>
            </x14:sparkline>
            <x14:sparkline>
              <xm:f>Branch_Revenue_Data!D92:D279</xm:f>
              <xm:sqref>I93</xm:sqref>
            </x14:sparkline>
            <x14:sparkline>
              <xm:f>Branch_Revenue_Data!D93:D280</xm:f>
              <xm:sqref>I94</xm:sqref>
            </x14:sparkline>
            <x14:sparkline>
              <xm:f>Branch_Revenue_Data!D94:D281</xm:f>
              <xm:sqref>I95</xm:sqref>
            </x14:sparkline>
            <x14:sparkline>
              <xm:f>Branch_Revenue_Data!D95:D282</xm:f>
              <xm:sqref>I96</xm:sqref>
            </x14:sparkline>
            <x14:sparkline>
              <xm:f>Branch_Revenue_Data!D96:D283</xm:f>
              <xm:sqref>I97</xm:sqref>
            </x14:sparkline>
            <x14:sparkline>
              <xm:f>Branch_Revenue_Data!D97:D284</xm:f>
              <xm:sqref>I98</xm:sqref>
            </x14:sparkline>
            <x14:sparkline>
              <xm:f>Branch_Revenue_Data!D98:D285</xm:f>
              <xm:sqref>I99</xm:sqref>
            </x14:sparkline>
            <x14:sparkline>
              <xm:f>Branch_Revenue_Data!D99:D286</xm:f>
              <xm:sqref>I100</xm:sqref>
            </x14:sparkline>
            <x14:sparkline>
              <xm:f>Branch_Revenue_Data!D100:D287</xm:f>
              <xm:sqref>I101</xm:sqref>
            </x14:sparkline>
            <x14:sparkline>
              <xm:f>Branch_Revenue_Data!D101:D288</xm:f>
              <xm:sqref>I102</xm:sqref>
            </x14:sparkline>
            <x14:sparkline>
              <xm:f>Branch_Revenue_Data!D102:D289</xm:f>
              <xm:sqref>I103</xm:sqref>
            </x14:sparkline>
            <x14:sparkline>
              <xm:f>Branch_Revenue_Data!D103:D290</xm:f>
              <xm:sqref>I104</xm:sqref>
            </x14:sparkline>
            <x14:sparkline>
              <xm:f>Branch_Revenue_Data!D104:D291</xm:f>
              <xm:sqref>I105</xm:sqref>
            </x14:sparkline>
            <x14:sparkline>
              <xm:f>Branch_Revenue_Data!D105:D292</xm:f>
              <xm:sqref>I106</xm:sqref>
            </x14:sparkline>
            <x14:sparkline>
              <xm:f>Branch_Revenue_Data!D106:D293</xm:f>
              <xm:sqref>I107</xm:sqref>
            </x14:sparkline>
            <x14:sparkline>
              <xm:f>Branch_Revenue_Data!D107:D294</xm:f>
              <xm:sqref>I108</xm:sqref>
            </x14:sparkline>
            <x14:sparkline>
              <xm:f>Branch_Revenue_Data!D108:D295</xm:f>
              <xm:sqref>I109</xm:sqref>
            </x14:sparkline>
            <x14:sparkline>
              <xm:f>Branch_Revenue_Data!D109:D296</xm:f>
              <xm:sqref>I110</xm:sqref>
            </x14:sparkline>
            <x14:sparkline>
              <xm:f>Branch_Revenue_Data!D110:D297</xm:f>
              <xm:sqref>I111</xm:sqref>
            </x14:sparkline>
            <x14:sparkline>
              <xm:f>Branch_Revenue_Data!D111:D298</xm:f>
              <xm:sqref>I112</xm:sqref>
            </x14:sparkline>
            <x14:sparkline>
              <xm:f>Branch_Revenue_Data!D112:D299</xm:f>
              <xm:sqref>I113</xm:sqref>
            </x14:sparkline>
            <x14:sparkline>
              <xm:f>Branch_Revenue_Data!D113:D300</xm:f>
              <xm:sqref>I114</xm:sqref>
            </x14:sparkline>
            <x14:sparkline>
              <xm:f>Branch_Revenue_Data!D114:D301</xm:f>
              <xm:sqref>I115</xm:sqref>
            </x14:sparkline>
            <x14:sparkline>
              <xm:f>Branch_Revenue_Data!D115:D302</xm:f>
              <xm:sqref>I116</xm:sqref>
            </x14:sparkline>
            <x14:sparkline>
              <xm:f>Branch_Revenue_Data!D116:D303</xm:f>
              <xm:sqref>I117</xm:sqref>
            </x14:sparkline>
            <x14:sparkline>
              <xm:f>Branch_Revenue_Data!D117:D304</xm:f>
              <xm:sqref>I118</xm:sqref>
            </x14:sparkline>
            <x14:sparkline>
              <xm:f>Branch_Revenue_Data!D118:D305</xm:f>
              <xm:sqref>I119</xm:sqref>
            </x14:sparkline>
            <x14:sparkline>
              <xm:f>Branch_Revenue_Data!D119:D306</xm:f>
              <xm:sqref>I120</xm:sqref>
            </x14:sparkline>
            <x14:sparkline>
              <xm:f>Branch_Revenue_Data!D120:D307</xm:f>
              <xm:sqref>I121</xm:sqref>
            </x14:sparkline>
            <x14:sparkline>
              <xm:f>Branch_Revenue_Data!D121:D308</xm:f>
              <xm:sqref>I122</xm:sqref>
            </x14:sparkline>
            <x14:sparkline>
              <xm:f>Branch_Revenue_Data!D122:D309</xm:f>
              <xm:sqref>I123</xm:sqref>
            </x14:sparkline>
            <x14:sparkline>
              <xm:f>Branch_Revenue_Data!D123:D310</xm:f>
              <xm:sqref>I124</xm:sqref>
            </x14:sparkline>
            <x14:sparkline>
              <xm:f>Branch_Revenue_Data!D124:D311</xm:f>
              <xm:sqref>I125</xm:sqref>
            </x14:sparkline>
            <x14:sparkline>
              <xm:f>Branch_Revenue_Data!D125:D312</xm:f>
              <xm:sqref>I126</xm:sqref>
            </x14:sparkline>
            <x14:sparkline>
              <xm:f>Branch_Revenue_Data!D126:D313</xm:f>
              <xm:sqref>I127</xm:sqref>
            </x14:sparkline>
            <x14:sparkline>
              <xm:f>Branch_Revenue_Data!D127:D314</xm:f>
              <xm:sqref>I128</xm:sqref>
            </x14:sparkline>
            <x14:sparkline>
              <xm:f>Branch_Revenue_Data!D128:D315</xm:f>
              <xm:sqref>I129</xm:sqref>
            </x14:sparkline>
            <x14:sparkline>
              <xm:f>Branch_Revenue_Data!D129:D316</xm:f>
              <xm:sqref>I130</xm:sqref>
            </x14:sparkline>
            <x14:sparkline>
              <xm:f>Branch_Revenue_Data!D130:D317</xm:f>
              <xm:sqref>I131</xm:sqref>
            </x14:sparkline>
            <x14:sparkline>
              <xm:f>Branch_Revenue_Data!D131:D318</xm:f>
              <xm:sqref>I132</xm:sqref>
            </x14:sparkline>
            <x14:sparkline>
              <xm:f>Branch_Revenue_Data!D132:D319</xm:f>
              <xm:sqref>I133</xm:sqref>
            </x14:sparkline>
            <x14:sparkline>
              <xm:f>Branch_Revenue_Data!D133:D320</xm:f>
              <xm:sqref>I134</xm:sqref>
            </x14:sparkline>
            <x14:sparkline>
              <xm:f>Branch_Revenue_Data!D134:D321</xm:f>
              <xm:sqref>I135</xm:sqref>
            </x14:sparkline>
            <x14:sparkline>
              <xm:f>Branch_Revenue_Data!D135:D322</xm:f>
              <xm:sqref>I136</xm:sqref>
            </x14:sparkline>
            <x14:sparkline>
              <xm:f>Branch_Revenue_Data!D136:D323</xm:f>
              <xm:sqref>I137</xm:sqref>
            </x14:sparkline>
            <x14:sparkline>
              <xm:f>Branch_Revenue_Data!D137:D324</xm:f>
              <xm:sqref>I138</xm:sqref>
            </x14:sparkline>
            <x14:sparkline>
              <xm:f>Branch_Revenue_Data!D138:D325</xm:f>
              <xm:sqref>I139</xm:sqref>
            </x14:sparkline>
            <x14:sparkline>
              <xm:f>Branch_Revenue_Data!D139:D326</xm:f>
              <xm:sqref>I140</xm:sqref>
            </x14:sparkline>
            <x14:sparkline>
              <xm:f>Branch_Revenue_Data!D140:D327</xm:f>
              <xm:sqref>I141</xm:sqref>
            </x14:sparkline>
            <x14:sparkline>
              <xm:f>Branch_Revenue_Data!D141:D328</xm:f>
              <xm:sqref>I142</xm:sqref>
            </x14:sparkline>
            <x14:sparkline>
              <xm:f>Branch_Revenue_Data!D142:D329</xm:f>
              <xm:sqref>I143</xm:sqref>
            </x14:sparkline>
            <x14:sparkline>
              <xm:f>Branch_Revenue_Data!D143:D330</xm:f>
              <xm:sqref>I144</xm:sqref>
            </x14:sparkline>
            <x14:sparkline>
              <xm:f>Branch_Revenue_Data!D144:D331</xm:f>
              <xm:sqref>I145</xm:sqref>
            </x14:sparkline>
            <x14:sparkline>
              <xm:f>Branch_Revenue_Data!D145:D332</xm:f>
              <xm:sqref>I146</xm:sqref>
            </x14:sparkline>
            <x14:sparkline>
              <xm:f>Branch_Revenue_Data!D146:D333</xm:f>
              <xm:sqref>I147</xm:sqref>
            </x14:sparkline>
            <x14:sparkline>
              <xm:f>Branch_Revenue_Data!D147:D334</xm:f>
              <xm:sqref>I148</xm:sqref>
            </x14:sparkline>
            <x14:sparkline>
              <xm:f>Branch_Revenue_Data!D148:D335</xm:f>
              <xm:sqref>I149</xm:sqref>
            </x14:sparkline>
            <x14:sparkline>
              <xm:f>Branch_Revenue_Data!D149:D336</xm:f>
              <xm:sqref>I150</xm:sqref>
            </x14:sparkline>
            <x14:sparkline>
              <xm:f>Branch_Revenue_Data!D150:D337</xm:f>
              <xm:sqref>I151</xm:sqref>
            </x14:sparkline>
            <x14:sparkline>
              <xm:f>Branch_Revenue_Data!D151:D338</xm:f>
              <xm:sqref>I152</xm:sqref>
            </x14:sparkline>
            <x14:sparkline>
              <xm:f>Branch_Revenue_Data!D152:D339</xm:f>
              <xm:sqref>I153</xm:sqref>
            </x14:sparkline>
            <x14:sparkline>
              <xm:f>Branch_Revenue_Data!D153:D340</xm:f>
              <xm:sqref>I154</xm:sqref>
            </x14:sparkline>
            <x14:sparkline>
              <xm:f>Branch_Revenue_Data!D154:D341</xm:f>
              <xm:sqref>I155</xm:sqref>
            </x14:sparkline>
            <x14:sparkline>
              <xm:f>Branch_Revenue_Data!D155:D342</xm:f>
              <xm:sqref>I156</xm:sqref>
            </x14:sparkline>
            <x14:sparkline>
              <xm:f>Branch_Revenue_Data!D156:D343</xm:f>
              <xm:sqref>I157</xm:sqref>
            </x14:sparkline>
            <x14:sparkline>
              <xm:f>Branch_Revenue_Data!D157:D344</xm:f>
              <xm:sqref>I158</xm:sqref>
            </x14:sparkline>
            <x14:sparkline>
              <xm:f>Branch_Revenue_Data!D158:D345</xm:f>
              <xm:sqref>I159</xm:sqref>
            </x14:sparkline>
            <x14:sparkline>
              <xm:f>Branch_Revenue_Data!D159:D346</xm:f>
              <xm:sqref>I160</xm:sqref>
            </x14:sparkline>
            <x14:sparkline>
              <xm:f>Branch_Revenue_Data!D160:D347</xm:f>
              <xm:sqref>I161</xm:sqref>
            </x14:sparkline>
            <x14:sparkline>
              <xm:f>Branch_Revenue_Data!D161:D348</xm:f>
              <xm:sqref>I162</xm:sqref>
            </x14:sparkline>
            <x14:sparkline>
              <xm:f>Branch_Revenue_Data!D162:D349</xm:f>
              <xm:sqref>I163</xm:sqref>
            </x14:sparkline>
            <x14:sparkline>
              <xm:f>Branch_Revenue_Data!D163:D350</xm:f>
              <xm:sqref>I164</xm:sqref>
            </x14:sparkline>
            <x14:sparkline>
              <xm:f>Branch_Revenue_Data!D164:D351</xm:f>
              <xm:sqref>I165</xm:sqref>
            </x14:sparkline>
            <x14:sparkline>
              <xm:f>Branch_Revenue_Data!D165:D352</xm:f>
              <xm:sqref>I166</xm:sqref>
            </x14:sparkline>
            <x14:sparkline>
              <xm:f>Branch_Revenue_Data!D166:D353</xm:f>
              <xm:sqref>I167</xm:sqref>
            </x14:sparkline>
            <x14:sparkline>
              <xm:f>Branch_Revenue_Data!D167:D354</xm:f>
              <xm:sqref>I168</xm:sqref>
            </x14:sparkline>
            <x14:sparkline>
              <xm:f>Branch_Revenue_Data!D168:D355</xm:f>
              <xm:sqref>I169</xm:sqref>
            </x14:sparkline>
            <x14:sparkline>
              <xm:f>Branch_Revenue_Data!D169:D356</xm:f>
              <xm:sqref>I170</xm:sqref>
            </x14:sparkline>
            <x14:sparkline>
              <xm:f>Branch_Revenue_Data!D170:D357</xm:f>
              <xm:sqref>I171</xm:sqref>
            </x14:sparkline>
            <x14:sparkline>
              <xm:f>Branch_Revenue_Data!D171:D358</xm:f>
              <xm:sqref>I172</xm:sqref>
            </x14:sparkline>
            <x14:sparkline>
              <xm:f>Branch_Revenue_Data!D172:D359</xm:f>
              <xm:sqref>I173</xm:sqref>
            </x14:sparkline>
            <x14:sparkline>
              <xm:f>Branch_Revenue_Data!D173:D360</xm:f>
              <xm:sqref>I174</xm:sqref>
            </x14:sparkline>
            <x14:sparkline>
              <xm:f>Branch_Revenue_Data!D174:D361</xm:f>
              <xm:sqref>I175</xm:sqref>
            </x14:sparkline>
            <x14:sparkline>
              <xm:f>Branch_Revenue_Data!D175:D362</xm:f>
              <xm:sqref>I176</xm:sqref>
            </x14:sparkline>
            <x14:sparkline>
              <xm:f>Branch_Revenue_Data!D176:D363</xm:f>
              <xm:sqref>I177</xm:sqref>
            </x14:sparkline>
            <x14:sparkline>
              <xm:f>Branch_Revenue_Data!D177:D364</xm:f>
              <xm:sqref>I178</xm:sqref>
            </x14:sparkline>
            <x14:sparkline>
              <xm:f>Branch_Revenue_Data!D178:D365</xm:f>
              <xm:sqref>I179</xm:sqref>
            </x14:sparkline>
            <x14:sparkline>
              <xm:f>Branch_Revenue_Data!D179:D366</xm:f>
              <xm:sqref>I180</xm:sqref>
            </x14:sparkline>
            <x14:sparkline>
              <xm:f>Branch_Revenue_Data!D180:D367</xm:f>
              <xm:sqref>I181</xm:sqref>
            </x14:sparkline>
            <x14:sparkline>
              <xm:f>Branch_Revenue_Data!D181:D368</xm:f>
              <xm:sqref>I182</xm:sqref>
            </x14:sparkline>
            <x14:sparkline>
              <xm:f>Branch_Revenue_Data!D182:D369</xm:f>
              <xm:sqref>I183</xm:sqref>
            </x14:sparkline>
            <x14:sparkline>
              <xm:f>Branch_Revenue_Data!D183:D370</xm:f>
              <xm:sqref>I184</xm:sqref>
            </x14:sparkline>
            <x14:sparkline>
              <xm:f>Branch_Revenue_Data!D184:D371</xm:f>
              <xm:sqref>I185</xm:sqref>
            </x14:sparkline>
            <x14:sparkline>
              <xm:f>Branch_Revenue_Data!D185:D372</xm:f>
              <xm:sqref>I186</xm:sqref>
            </x14:sparkline>
            <x14:sparkline>
              <xm:f>Branch_Revenue_Data!D186:D373</xm:f>
              <xm:sqref>I187</xm:sqref>
            </x14:sparkline>
            <x14:sparkline>
              <xm:f>Branch_Revenue_Data!D187:D374</xm:f>
              <xm:sqref>I188</xm:sqref>
            </x14:sparkline>
            <x14:sparkline>
              <xm:f>Branch_Revenue_Data!D188:D375</xm:f>
              <xm:sqref>I189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12946-2A76-4927-8FF0-665CF4F46484}">
  <dimension ref="A3:BI17"/>
  <sheetViews>
    <sheetView topLeftCell="B1" workbookViewId="0">
      <selection activeCell="F6" sqref="A6:XFD6"/>
    </sheetView>
  </sheetViews>
  <sheetFormatPr defaultRowHeight="14.5" x14ac:dyDescent="0.35"/>
  <cols>
    <col min="1" max="1" width="14.6328125" bestFit="1" customWidth="1"/>
    <col min="2" max="57" width="19.453125" bestFit="1" customWidth="1"/>
    <col min="58" max="58" width="17.81640625" bestFit="1" customWidth="1"/>
    <col min="59" max="59" width="18.36328125" bestFit="1" customWidth="1"/>
    <col min="60" max="60" width="16.26953125" bestFit="1" customWidth="1"/>
    <col min="61" max="61" width="24.26953125" bestFit="1" customWidth="1"/>
    <col min="62" max="62" width="18.54296875" bestFit="1" customWidth="1"/>
    <col min="63" max="63" width="21.90625" bestFit="1" customWidth="1"/>
    <col min="64" max="64" width="27.26953125" bestFit="1" customWidth="1"/>
    <col min="65" max="65" width="30.81640625" bestFit="1" customWidth="1"/>
    <col min="66" max="66" width="18.81640625" bestFit="1" customWidth="1"/>
    <col min="67" max="67" width="22.1796875" bestFit="1" customWidth="1"/>
    <col min="68" max="68" width="27.54296875" bestFit="1" customWidth="1"/>
    <col min="69" max="69" width="31.08984375" bestFit="1" customWidth="1"/>
  </cols>
  <sheetData>
    <row r="3" spans="1:61" x14ac:dyDescent="0.35">
      <c r="B3" s="2" t="s">
        <v>38</v>
      </c>
      <c r="C3" s="2" t="s">
        <v>1</v>
      </c>
      <c r="D3" s="2" t="s">
        <v>29</v>
      </c>
    </row>
    <row r="4" spans="1:61" x14ac:dyDescent="0.35">
      <c r="B4" t="s">
        <v>39</v>
      </c>
      <c r="J4" t="s">
        <v>40</v>
      </c>
      <c r="R4" t="s">
        <v>41</v>
      </c>
      <c r="V4" t="s">
        <v>42</v>
      </c>
      <c r="Z4" t="s">
        <v>43</v>
      </c>
      <c r="AD4" t="s">
        <v>44</v>
      </c>
      <c r="AH4" t="s">
        <v>45</v>
      </c>
      <c r="AL4" t="s">
        <v>46</v>
      </c>
      <c r="AP4" t="s">
        <v>47</v>
      </c>
      <c r="AT4" t="s">
        <v>48</v>
      </c>
      <c r="AX4" t="s">
        <v>49</v>
      </c>
      <c r="BB4" t="s">
        <v>50</v>
      </c>
      <c r="BF4" t="s">
        <v>30</v>
      </c>
      <c r="BG4" t="s">
        <v>32</v>
      </c>
      <c r="BH4" t="s">
        <v>34</v>
      </c>
      <c r="BI4" t="s">
        <v>36</v>
      </c>
    </row>
    <row r="5" spans="1:61" x14ac:dyDescent="0.35">
      <c r="B5">
        <v>2025</v>
      </c>
      <c r="F5">
        <v>2026</v>
      </c>
      <c r="J5">
        <v>2025</v>
      </c>
      <c r="N5">
        <v>2026</v>
      </c>
      <c r="R5">
        <v>2025</v>
      </c>
      <c r="V5">
        <v>2025</v>
      </c>
      <c r="Z5">
        <v>2025</v>
      </c>
      <c r="AD5">
        <v>2025</v>
      </c>
      <c r="AH5">
        <v>2025</v>
      </c>
      <c r="AL5">
        <v>2025</v>
      </c>
      <c r="AP5">
        <v>2025</v>
      </c>
      <c r="AT5">
        <v>2025</v>
      </c>
      <c r="AX5">
        <v>2025</v>
      </c>
      <c r="BB5">
        <v>2025</v>
      </c>
    </row>
    <row r="6" spans="1:61" x14ac:dyDescent="0.35">
      <c r="A6" s="2" t="s">
        <v>0</v>
      </c>
      <c r="B6" s="5" t="s">
        <v>31</v>
      </c>
      <c r="C6" s="4" t="s">
        <v>33</v>
      </c>
      <c r="D6" t="s">
        <v>35</v>
      </c>
      <c r="E6" s="4" t="s">
        <v>37</v>
      </c>
      <c r="F6" s="5" t="s">
        <v>31</v>
      </c>
      <c r="G6" s="4" t="s">
        <v>33</v>
      </c>
      <c r="H6" t="s">
        <v>35</v>
      </c>
      <c r="I6" s="4" t="s">
        <v>37</v>
      </c>
      <c r="J6" s="5" t="s">
        <v>31</v>
      </c>
      <c r="K6" s="4" t="s">
        <v>33</v>
      </c>
      <c r="L6" t="s">
        <v>35</v>
      </c>
      <c r="M6" s="4" t="s">
        <v>37</v>
      </c>
      <c r="N6" s="5" t="s">
        <v>31</v>
      </c>
      <c r="O6" s="4" t="s">
        <v>33</v>
      </c>
      <c r="P6" t="s">
        <v>35</v>
      </c>
      <c r="Q6" s="4" t="s">
        <v>37</v>
      </c>
      <c r="R6" s="5" t="s">
        <v>31</v>
      </c>
      <c r="S6" s="4" t="s">
        <v>33</v>
      </c>
      <c r="T6" t="s">
        <v>35</v>
      </c>
      <c r="U6" s="4" t="s">
        <v>37</v>
      </c>
      <c r="V6" s="5" t="s">
        <v>31</v>
      </c>
      <c r="W6" s="4" t="s">
        <v>33</v>
      </c>
      <c r="X6" t="s">
        <v>35</v>
      </c>
      <c r="Y6" s="4" t="s">
        <v>37</v>
      </c>
      <c r="Z6" s="5" t="s">
        <v>31</v>
      </c>
      <c r="AA6" s="4" t="s">
        <v>33</v>
      </c>
      <c r="AB6" t="s">
        <v>35</v>
      </c>
      <c r="AC6" s="4" t="s">
        <v>37</v>
      </c>
      <c r="AD6" s="5" t="s">
        <v>31</v>
      </c>
      <c r="AE6" s="4" t="s">
        <v>33</v>
      </c>
      <c r="AF6" t="s">
        <v>35</v>
      </c>
      <c r="AG6" s="4" t="s">
        <v>37</v>
      </c>
      <c r="AH6" s="5" t="s">
        <v>31</v>
      </c>
      <c r="AI6" s="4" t="s">
        <v>33</v>
      </c>
      <c r="AJ6" t="s">
        <v>35</v>
      </c>
      <c r="AK6" s="4" t="s">
        <v>37</v>
      </c>
      <c r="AL6" s="5" t="s">
        <v>31</v>
      </c>
      <c r="AM6" s="4" t="s">
        <v>33</v>
      </c>
      <c r="AN6" t="s">
        <v>35</v>
      </c>
      <c r="AO6" s="4" t="s">
        <v>37</v>
      </c>
      <c r="AP6" s="5" t="s">
        <v>31</v>
      </c>
      <c r="AQ6" s="4" t="s">
        <v>33</v>
      </c>
      <c r="AR6" t="s">
        <v>35</v>
      </c>
      <c r="AS6" s="4" t="s">
        <v>37</v>
      </c>
      <c r="AT6" s="5" t="s">
        <v>31</v>
      </c>
      <c r="AU6" s="4" t="s">
        <v>33</v>
      </c>
      <c r="AV6" t="s">
        <v>35</v>
      </c>
      <c r="AW6" s="4" t="s">
        <v>37</v>
      </c>
      <c r="AX6" s="5" t="s">
        <v>31</v>
      </c>
      <c r="AY6" s="4" t="s">
        <v>33</v>
      </c>
      <c r="AZ6" t="s">
        <v>35</v>
      </c>
      <c r="BA6" s="4" t="s">
        <v>37</v>
      </c>
      <c r="BB6" s="5" t="s">
        <v>31</v>
      </c>
      <c r="BC6" s="4" t="s">
        <v>33</v>
      </c>
      <c r="BD6" t="s">
        <v>35</v>
      </c>
      <c r="BE6" s="4" t="s">
        <v>37</v>
      </c>
    </row>
    <row r="7" spans="1:61" x14ac:dyDescent="0.35">
      <c r="A7" t="s">
        <v>23</v>
      </c>
      <c r="B7" s="5">
        <v>865905</v>
      </c>
      <c r="C7" s="4">
        <v>1648.1399999999992</v>
      </c>
      <c r="D7" s="1">
        <v>228</v>
      </c>
      <c r="E7" s="4">
        <v>3797.83</v>
      </c>
      <c r="F7" s="5">
        <v>2633056</v>
      </c>
      <c r="G7" s="4">
        <v>32723.189999999981</v>
      </c>
      <c r="H7" s="1">
        <v>370</v>
      </c>
      <c r="I7" s="4">
        <v>7116.37</v>
      </c>
      <c r="J7" s="5">
        <v>1508399</v>
      </c>
      <c r="K7" s="4">
        <v>4351.3599999999988</v>
      </c>
      <c r="L7" s="1">
        <v>326</v>
      </c>
      <c r="M7" s="4">
        <v>4626.99</v>
      </c>
      <c r="N7" s="5">
        <v>1140334</v>
      </c>
      <c r="O7" s="4">
        <v>3087.12</v>
      </c>
      <c r="P7" s="1">
        <v>117</v>
      </c>
      <c r="Q7" s="4">
        <v>9746.44</v>
      </c>
      <c r="R7" s="5">
        <v>2437358</v>
      </c>
      <c r="S7" s="4">
        <v>6683.4000000000033</v>
      </c>
      <c r="T7" s="1">
        <v>424</v>
      </c>
      <c r="U7" s="4">
        <v>5748.49</v>
      </c>
      <c r="V7" s="5">
        <v>2834058</v>
      </c>
      <c r="W7" s="4">
        <v>12388.739999999989</v>
      </c>
      <c r="X7" s="1">
        <v>450</v>
      </c>
      <c r="Y7" s="4">
        <v>6297.91</v>
      </c>
      <c r="Z7" s="5">
        <v>3126763</v>
      </c>
      <c r="AA7" s="4">
        <v>8054.8700000000081</v>
      </c>
      <c r="AB7" s="1">
        <v>520</v>
      </c>
      <c r="AC7" s="4">
        <v>6013.01</v>
      </c>
      <c r="AD7" s="5">
        <v>2119346</v>
      </c>
      <c r="AE7" s="4">
        <v>6304.5200000000023</v>
      </c>
      <c r="AF7" s="1">
        <v>341</v>
      </c>
      <c r="AG7" s="4">
        <v>6215.09</v>
      </c>
      <c r="AH7" s="5">
        <v>1475297</v>
      </c>
      <c r="AI7" s="4">
        <v>3877.9599999999987</v>
      </c>
      <c r="AJ7" s="1">
        <v>289</v>
      </c>
      <c r="AK7" s="4">
        <v>5104.83</v>
      </c>
      <c r="AL7" s="5">
        <v>1388511</v>
      </c>
      <c r="AM7" s="4">
        <v>3414.5499999999984</v>
      </c>
      <c r="AN7" s="1">
        <v>258</v>
      </c>
      <c r="AO7" s="4">
        <v>5381.83</v>
      </c>
      <c r="AP7" s="5">
        <v>2860385</v>
      </c>
      <c r="AQ7" s="4">
        <v>6522.0499999999965</v>
      </c>
      <c r="AR7" s="1">
        <v>324</v>
      </c>
      <c r="AS7" s="4">
        <v>8828.35</v>
      </c>
      <c r="AT7" s="5">
        <v>2793779.5</v>
      </c>
      <c r="AU7" s="4">
        <v>44127.659999999989</v>
      </c>
      <c r="AV7" s="1">
        <v>402</v>
      </c>
      <c r="AW7" s="4">
        <v>6949.7</v>
      </c>
      <c r="AX7" s="5">
        <v>1253686.05</v>
      </c>
      <c r="AY7" s="4">
        <v>2527.2899999999995</v>
      </c>
      <c r="AZ7" s="1">
        <v>239</v>
      </c>
      <c r="BA7" s="4">
        <v>5245.55</v>
      </c>
      <c r="BB7" s="5">
        <v>1641887</v>
      </c>
      <c r="BC7" s="4">
        <v>5116.6299999999992</v>
      </c>
      <c r="BD7" s="1">
        <v>288</v>
      </c>
      <c r="BE7" s="4">
        <v>5701</v>
      </c>
      <c r="BF7" s="5">
        <v>28078764.550000001</v>
      </c>
      <c r="BG7" s="4">
        <v>140827.47999999998</v>
      </c>
      <c r="BH7" s="1">
        <v>4576</v>
      </c>
      <c r="BI7" s="4">
        <v>86773.390000000014</v>
      </c>
    </row>
    <row r="8" spans="1:61" x14ac:dyDescent="0.35">
      <c r="A8" t="s">
        <v>20</v>
      </c>
      <c r="B8" s="5">
        <v>1380095</v>
      </c>
      <c r="C8" s="4">
        <v>3267.8300000000013</v>
      </c>
      <c r="D8" s="1">
        <v>316</v>
      </c>
      <c r="E8" s="4">
        <v>4367.3900000000003</v>
      </c>
      <c r="F8" s="5">
        <v>5069155</v>
      </c>
      <c r="G8" s="4">
        <v>69860.170000000013</v>
      </c>
      <c r="H8" s="1">
        <v>513</v>
      </c>
      <c r="I8" s="4">
        <v>9881.39</v>
      </c>
      <c r="J8" s="5">
        <v>2341870</v>
      </c>
      <c r="K8" s="4">
        <v>6827.7690000000093</v>
      </c>
      <c r="L8" s="1">
        <v>493</v>
      </c>
      <c r="M8" s="4">
        <v>4750.24</v>
      </c>
      <c r="N8" s="5">
        <v>1520935</v>
      </c>
      <c r="O8" s="4">
        <v>2571.5499999999979</v>
      </c>
      <c r="P8" s="1">
        <v>215</v>
      </c>
      <c r="Q8" s="4">
        <v>7074.12</v>
      </c>
      <c r="R8" s="5">
        <v>3165685</v>
      </c>
      <c r="S8" s="4">
        <v>17606.850000000042</v>
      </c>
      <c r="T8" s="1">
        <v>641</v>
      </c>
      <c r="U8" s="4">
        <v>4938.67</v>
      </c>
      <c r="V8" s="5">
        <v>3610485</v>
      </c>
      <c r="W8" s="4">
        <v>9623.350000000004</v>
      </c>
      <c r="X8" s="1">
        <v>605</v>
      </c>
      <c r="Y8" s="4">
        <v>5967.74</v>
      </c>
      <c r="Z8" s="5">
        <v>3802280</v>
      </c>
      <c r="AA8" s="4">
        <v>10020.650000000005</v>
      </c>
      <c r="AB8" s="1">
        <v>724</v>
      </c>
      <c r="AC8" s="4">
        <v>5251.77</v>
      </c>
      <c r="AD8" s="5">
        <v>2498220</v>
      </c>
      <c r="AE8" s="4">
        <v>6339.0299999999961</v>
      </c>
      <c r="AF8" s="1">
        <v>500</v>
      </c>
      <c r="AG8" s="4">
        <v>4996.4399999999996</v>
      </c>
      <c r="AH8" s="5">
        <v>1843320</v>
      </c>
      <c r="AI8" s="4">
        <v>6694.5200000000041</v>
      </c>
      <c r="AJ8" s="1">
        <v>380</v>
      </c>
      <c r="AK8" s="4">
        <v>4850.84</v>
      </c>
      <c r="AL8" s="5">
        <v>1778245</v>
      </c>
      <c r="AM8" s="4">
        <v>4347.220000000003</v>
      </c>
      <c r="AN8" s="1">
        <v>382</v>
      </c>
      <c r="AO8" s="4">
        <v>4655.09</v>
      </c>
      <c r="AP8" s="5">
        <v>2398340</v>
      </c>
      <c r="AQ8" s="4">
        <v>8357.2100000000028</v>
      </c>
      <c r="AR8" s="1">
        <v>406</v>
      </c>
      <c r="AS8" s="4">
        <v>5907.24</v>
      </c>
      <c r="AT8" s="5">
        <v>3729900</v>
      </c>
      <c r="AU8" s="4">
        <v>23377.519999999997</v>
      </c>
      <c r="AV8" s="1">
        <v>540</v>
      </c>
      <c r="AW8" s="4">
        <v>6907.22</v>
      </c>
      <c r="AX8" s="5">
        <v>2022695</v>
      </c>
      <c r="AY8" s="4">
        <v>6282.5599999999995</v>
      </c>
      <c r="AZ8" s="1">
        <v>352</v>
      </c>
      <c r="BA8" s="4">
        <v>5746.29</v>
      </c>
      <c r="BB8" s="5">
        <v>2188330</v>
      </c>
      <c r="BC8" s="4">
        <v>8125.0500000000029</v>
      </c>
      <c r="BD8" s="1">
        <v>344</v>
      </c>
      <c r="BE8" s="4">
        <v>6361.42</v>
      </c>
      <c r="BF8" s="5">
        <v>37349555</v>
      </c>
      <c r="BG8" s="4">
        <v>183301.2790000001</v>
      </c>
      <c r="BH8" s="1">
        <v>6411</v>
      </c>
      <c r="BI8" s="4">
        <v>81655.859999999971</v>
      </c>
    </row>
    <row r="9" spans="1:61" x14ac:dyDescent="0.35">
      <c r="A9" t="s">
        <v>18</v>
      </c>
      <c r="B9" s="5">
        <v>868550</v>
      </c>
      <c r="C9" s="4">
        <v>3971.9</v>
      </c>
      <c r="D9" s="1">
        <v>190</v>
      </c>
      <c r="E9" s="4">
        <v>4571.32</v>
      </c>
      <c r="F9" s="5">
        <v>3014445</v>
      </c>
      <c r="G9" s="4">
        <v>20963.949999999993</v>
      </c>
      <c r="H9" s="1">
        <v>444</v>
      </c>
      <c r="I9" s="4">
        <v>6789.29</v>
      </c>
      <c r="J9" s="5">
        <v>1905223</v>
      </c>
      <c r="K9" s="4">
        <v>5339.0999999999995</v>
      </c>
      <c r="L9" s="1">
        <v>343</v>
      </c>
      <c r="M9" s="4">
        <v>5554.59</v>
      </c>
      <c r="N9" s="5">
        <v>819728</v>
      </c>
      <c r="O9" s="4">
        <v>1382.5500000000002</v>
      </c>
      <c r="P9" s="1">
        <v>134</v>
      </c>
      <c r="Q9" s="4">
        <v>6117.37</v>
      </c>
      <c r="R9" s="5">
        <v>2354166</v>
      </c>
      <c r="S9" s="4">
        <v>6697.3400000000074</v>
      </c>
      <c r="T9" s="1">
        <v>457</v>
      </c>
      <c r="U9" s="4">
        <v>5151.3500000000004</v>
      </c>
      <c r="V9" s="5">
        <v>2684360</v>
      </c>
      <c r="W9" s="4">
        <v>11027.080000000004</v>
      </c>
      <c r="X9" s="1">
        <v>450</v>
      </c>
      <c r="Y9" s="4">
        <v>5965.24</v>
      </c>
      <c r="Z9" s="5">
        <v>2452005</v>
      </c>
      <c r="AA9" s="4">
        <v>9053.670000000011</v>
      </c>
      <c r="AB9" s="1">
        <v>516</v>
      </c>
      <c r="AC9" s="4">
        <v>4751.95</v>
      </c>
      <c r="AD9" s="5">
        <v>1668087</v>
      </c>
      <c r="AE9" s="4">
        <v>4191.9599999999991</v>
      </c>
      <c r="AF9" s="1">
        <v>295</v>
      </c>
      <c r="AG9" s="4">
        <v>5654.53</v>
      </c>
      <c r="AH9" s="5">
        <v>1440420</v>
      </c>
      <c r="AI9" s="4">
        <v>4460.239999999998</v>
      </c>
      <c r="AJ9" s="1">
        <v>275</v>
      </c>
      <c r="AK9" s="4">
        <v>5237.8900000000003</v>
      </c>
      <c r="AL9" s="5">
        <v>1793020</v>
      </c>
      <c r="AM9" s="4">
        <v>4396.0899999999983</v>
      </c>
      <c r="AN9" s="1">
        <v>374</v>
      </c>
      <c r="AO9" s="4">
        <v>4794.17</v>
      </c>
      <c r="AP9" s="5">
        <v>1624852</v>
      </c>
      <c r="AQ9" s="4">
        <v>3649.7900000000013</v>
      </c>
      <c r="AR9" s="1">
        <v>322</v>
      </c>
      <c r="AS9" s="4">
        <v>5046.12</v>
      </c>
      <c r="AT9" s="5">
        <v>2225058</v>
      </c>
      <c r="AU9" s="4">
        <v>9493.8200000000088</v>
      </c>
      <c r="AV9" s="1">
        <v>398</v>
      </c>
      <c r="AW9" s="4">
        <v>5590.6</v>
      </c>
      <c r="AX9" s="5">
        <v>1228540</v>
      </c>
      <c r="AY9" s="4">
        <v>2511.3999999999987</v>
      </c>
      <c r="AZ9" s="1">
        <v>277</v>
      </c>
      <c r="BA9" s="4">
        <v>4435.16</v>
      </c>
      <c r="BB9" s="5">
        <v>2229975</v>
      </c>
      <c r="BC9" s="4">
        <v>5267.37</v>
      </c>
      <c r="BD9" s="1">
        <v>377</v>
      </c>
      <c r="BE9" s="4">
        <v>5915.05</v>
      </c>
      <c r="BF9" s="5">
        <v>26308429</v>
      </c>
      <c r="BG9" s="4">
        <v>92406.260000000009</v>
      </c>
      <c r="BH9" s="1">
        <v>4852</v>
      </c>
      <c r="BI9" s="4">
        <v>75574.62999999999</v>
      </c>
    </row>
    <row r="10" spans="1:61" x14ac:dyDescent="0.35">
      <c r="A10" t="s">
        <v>17</v>
      </c>
      <c r="B10" s="5">
        <v>1132935</v>
      </c>
      <c r="C10" s="4">
        <v>1711.2999999999995</v>
      </c>
      <c r="D10" s="1">
        <v>232</v>
      </c>
      <c r="E10" s="4">
        <v>4883.34</v>
      </c>
      <c r="F10" s="5">
        <v>2738365</v>
      </c>
      <c r="G10" s="4">
        <v>43601.879999999954</v>
      </c>
      <c r="H10" s="1">
        <v>402</v>
      </c>
      <c r="I10" s="4">
        <v>6811.85</v>
      </c>
      <c r="J10" s="5">
        <v>1557542</v>
      </c>
      <c r="K10" s="4">
        <v>4008.9289999999987</v>
      </c>
      <c r="L10" s="1">
        <v>327</v>
      </c>
      <c r="M10" s="4">
        <v>4763.13</v>
      </c>
      <c r="N10" s="5">
        <v>689207</v>
      </c>
      <c r="O10" s="4">
        <v>2037.0500000000002</v>
      </c>
      <c r="P10" s="1">
        <v>114</v>
      </c>
      <c r="Q10" s="4">
        <v>6045.68</v>
      </c>
      <c r="R10" s="5">
        <v>2377075</v>
      </c>
      <c r="S10" s="4">
        <v>6052.4299999999994</v>
      </c>
      <c r="T10" s="1">
        <v>449</v>
      </c>
      <c r="U10" s="4">
        <v>5294.15</v>
      </c>
      <c r="V10" s="5">
        <v>1620140</v>
      </c>
      <c r="W10" s="4">
        <v>6720.5700000000079</v>
      </c>
      <c r="X10" s="1">
        <v>306</v>
      </c>
      <c r="Y10" s="4">
        <v>5294.58</v>
      </c>
      <c r="Z10" s="5">
        <v>1804331</v>
      </c>
      <c r="AA10" s="4">
        <v>4144.7720000000008</v>
      </c>
      <c r="AB10" s="1">
        <v>341</v>
      </c>
      <c r="AC10" s="4">
        <v>5291.29</v>
      </c>
      <c r="AD10" s="5">
        <v>1218640</v>
      </c>
      <c r="AE10" s="4">
        <v>2761.8400000000006</v>
      </c>
      <c r="AF10" s="1">
        <v>255</v>
      </c>
      <c r="AG10" s="4">
        <v>4778.9799999999996</v>
      </c>
      <c r="AH10" s="5">
        <v>1410468</v>
      </c>
      <c r="AI10" s="4">
        <v>3247.4999999999991</v>
      </c>
      <c r="AJ10" s="1">
        <v>264</v>
      </c>
      <c r="AK10" s="4">
        <v>5342.68</v>
      </c>
      <c r="AL10" s="5">
        <v>1303100</v>
      </c>
      <c r="AM10" s="4">
        <v>5927.0600000000022</v>
      </c>
      <c r="AN10" s="1">
        <v>295</v>
      </c>
      <c r="AO10" s="4">
        <v>4417.29</v>
      </c>
      <c r="AP10" s="5">
        <v>1154971</v>
      </c>
      <c r="AQ10" s="4">
        <v>3444.3000000000011</v>
      </c>
      <c r="AR10" s="1">
        <v>275</v>
      </c>
      <c r="AS10" s="4">
        <v>4199.8900000000003</v>
      </c>
      <c r="AT10" s="5">
        <v>2794453</v>
      </c>
      <c r="AU10" s="4">
        <v>22027.139999999992</v>
      </c>
      <c r="AV10" s="1">
        <v>387</v>
      </c>
      <c r="AW10" s="4">
        <v>7220.81</v>
      </c>
      <c r="AX10" s="5">
        <v>1503965</v>
      </c>
      <c r="AY10" s="4">
        <v>3882.9600000000005</v>
      </c>
      <c r="AZ10" s="1">
        <v>299</v>
      </c>
      <c r="BA10" s="4">
        <v>5029.9799999999996</v>
      </c>
      <c r="BB10" s="5">
        <v>2190271</v>
      </c>
      <c r="BC10" s="4">
        <v>13209.18</v>
      </c>
      <c r="BD10" s="1">
        <v>361</v>
      </c>
      <c r="BE10" s="4">
        <v>6067.23</v>
      </c>
      <c r="BF10" s="5">
        <v>23495463</v>
      </c>
      <c r="BG10" s="4">
        <v>122776.91099999996</v>
      </c>
      <c r="BH10" s="1">
        <v>4307</v>
      </c>
      <c r="BI10" s="4">
        <v>75440.87999999999</v>
      </c>
    </row>
    <row r="11" spans="1:61" x14ac:dyDescent="0.35">
      <c r="A11" t="s">
        <v>15</v>
      </c>
      <c r="B11" s="5">
        <v>688190</v>
      </c>
      <c r="C11" s="4">
        <v>1601.0299999999995</v>
      </c>
      <c r="D11" s="1">
        <v>142</v>
      </c>
      <c r="E11" s="4">
        <v>4846.41</v>
      </c>
      <c r="F11" s="5">
        <v>1976235</v>
      </c>
      <c r="G11" s="4">
        <v>29940.689999999991</v>
      </c>
      <c r="H11" s="1">
        <v>278</v>
      </c>
      <c r="I11" s="4">
        <v>7108.76</v>
      </c>
      <c r="J11" s="5">
        <v>1294391</v>
      </c>
      <c r="K11" s="4">
        <v>3687.1699999999996</v>
      </c>
      <c r="L11" s="1">
        <v>253</v>
      </c>
      <c r="M11" s="4">
        <v>5116.17</v>
      </c>
      <c r="N11" s="5">
        <v>556192</v>
      </c>
      <c r="O11" s="4">
        <v>968.27</v>
      </c>
      <c r="P11" s="1">
        <v>90</v>
      </c>
      <c r="Q11" s="4">
        <v>6179.91</v>
      </c>
      <c r="R11" s="5">
        <v>1797550</v>
      </c>
      <c r="S11" s="4">
        <v>7804.359999999996</v>
      </c>
      <c r="T11" s="1">
        <v>308</v>
      </c>
      <c r="U11" s="4">
        <v>5836.2</v>
      </c>
      <c r="V11" s="5">
        <v>2845909</v>
      </c>
      <c r="W11" s="4">
        <v>11275.690000000013</v>
      </c>
      <c r="X11" s="1">
        <v>395</v>
      </c>
      <c r="Y11" s="4">
        <v>7204.83</v>
      </c>
      <c r="Z11" s="5">
        <v>2647020</v>
      </c>
      <c r="AA11" s="4">
        <v>15483.920000000002</v>
      </c>
      <c r="AB11" s="1">
        <v>438</v>
      </c>
      <c r="AC11" s="4">
        <v>6043.42</v>
      </c>
      <c r="AD11" s="5">
        <v>1391570</v>
      </c>
      <c r="AE11" s="4">
        <v>4652.6800000000048</v>
      </c>
      <c r="AF11" s="1">
        <v>243</v>
      </c>
      <c r="AG11" s="4">
        <v>5726.63</v>
      </c>
      <c r="AH11" s="5">
        <v>1152750</v>
      </c>
      <c r="AI11" s="4">
        <v>3939.9499999999994</v>
      </c>
      <c r="AJ11" s="1">
        <v>210</v>
      </c>
      <c r="AK11" s="4">
        <v>5489.29</v>
      </c>
      <c r="AL11" s="5">
        <v>1252938</v>
      </c>
      <c r="AM11" s="4">
        <v>3179.9799999999991</v>
      </c>
      <c r="AN11" s="1">
        <v>209</v>
      </c>
      <c r="AO11" s="4">
        <v>5994.92</v>
      </c>
      <c r="AP11" s="5">
        <v>1796990</v>
      </c>
      <c r="AQ11" s="4">
        <v>7240.2900000000009</v>
      </c>
      <c r="AR11" s="1">
        <v>270</v>
      </c>
      <c r="AS11" s="4">
        <v>6655.52</v>
      </c>
      <c r="AT11" s="5">
        <v>2118183</v>
      </c>
      <c r="AU11" s="4">
        <v>8294.4100000000089</v>
      </c>
      <c r="AV11" s="1">
        <v>383</v>
      </c>
      <c r="AW11" s="4">
        <v>5530.5</v>
      </c>
      <c r="AX11" s="5">
        <v>1038682</v>
      </c>
      <c r="AY11" s="4">
        <v>2107.8789999999981</v>
      </c>
      <c r="AZ11" s="1">
        <v>240</v>
      </c>
      <c r="BA11" s="4">
        <v>4327.84</v>
      </c>
      <c r="BB11" s="5">
        <v>1301523</v>
      </c>
      <c r="BC11" s="4">
        <v>8852.9499999999971</v>
      </c>
      <c r="BD11" s="1">
        <v>222</v>
      </c>
      <c r="BE11" s="4">
        <v>5862.72</v>
      </c>
      <c r="BF11" s="5">
        <v>21858123</v>
      </c>
      <c r="BG11" s="4">
        <v>109029.269</v>
      </c>
      <c r="BH11" s="1">
        <v>3681</v>
      </c>
      <c r="BI11" s="4">
        <v>81923.12</v>
      </c>
    </row>
    <row r="12" spans="1:61" x14ac:dyDescent="0.35">
      <c r="A12" t="s">
        <v>14</v>
      </c>
      <c r="B12" s="5">
        <v>781876</v>
      </c>
      <c r="C12" s="4">
        <v>1806.8889999999985</v>
      </c>
      <c r="D12" s="1">
        <v>278</v>
      </c>
      <c r="E12" s="4">
        <v>2812.5</v>
      </c>
      <c r="F12" s="5">
        <v>3200407</v>
      </c>
      <c r="G12" s="4">
        <v>28898.330000000016</v>
      </c>
      <c r="H12" s="1">
        <v>646</v>
      </c>
      <c r="I12" s="4">
        <v>4954.1899999999996</v>
      </c>
      <c r="J12" s="5">
        <v>1704837</v>
      </c>
      <c r="K12" s="4">
        <v>4186.0999999999995</v>
      </c>
      <c r="L12" s="1">
        <v>507</v>
      </c>
      <c r="M12" s="4">
        <v>3362.6</v>
      </c>
      <c r="N12" s="5">
        <v>1279329</v>
      </c>
      <c r="O12" s="4">
        <v>41139.849999999984</v>
      </c>
      <c r="P12" s="1">
        <v>206</v>
      </c>
      <c r="Q12" s="4">
        <v>6210.33</v>
      </c>
      <c r="R12" s="5">
        <v>2686355</v>
      </c>
      <c r="S12" s="4">
        <v>6383.0400000000027</v>
      </c>
      <c r="T12" s="1">
        <v>821</v>
      </c>
      <c r="U12" s="4">
        <v>3272.05</v>
      </c>
      <c r="V12" s="5">
        <v>1516311</v>
      </c>
      <c r="W12" s="4">
        <v>3414.5800000000017</v>
      </c>
      <c r="X12" s="1">
        <v>476</v>
      </c>
      <c r="Y12" s="4">
        <v>3185.53</v>
      </c>
      <c r="Z12" s="5">
        <v>1820764</v>
      </c>
      <c r="AA12" s="4">
        <v>5987.7199999999984</v>
      </c>
      <c r="AB12" s="1">
        <v>625</v>
      </c>
      <c r="AC12" s="4">
        <v>2913.22</v>
      </c>
      <c r="AD12" s="5">
        <v>1842641</v>
      </c>
      <c r="AE12" s="4">
        <v>4015.7199999999948</v>
      </c>
      <c r="AF12" s="1">
        <v>563</v>
      </c>
      <c r="AG12" s="4">
        <v>3272.9</v>
      </c>
      <c r="AH12" s="5">
        <v>1519037</v>
      </c>
      <c r="AI12" s="4">
        <v>3271.8899999999967</v>
      </c>
      <c r="AJ12" s="1">
        <v>470</v>
      </c>
      <c r="AK12" s="4">
        <v>3231.99</v>
      </c>
      <c r="AL12" s="5">
        <v>1658296</v>
      </c>
      <c r="AM12" s="4">
        <v>3527.6799999999976</v>
      </c>
      <c r="AN12" s="1">
        <v>514</v>
      </c>
      <c r="AO12" s="4">
        <v>3226.26</v>
      </c>
      <c r="AP12" s="5">
        <v>2393485</v>
      </c>
      <c r="AQ12" s="4">
        <v>11057.010000000006</v>
      </c>
      <c r="AR12" s="1">
        <v>650</v>
      </c>
      <c r="AS12" s="4">
        <v>3682.28</v>
      </c>
      <c r="AT12" s="5">
        <v>2764498</v>
      </c>
      <c r="AU12" s="4">
        <v>7019.2499999999982</v>
      </c>
      <c r="AV12" s="1">
        <v>735</v>
      </c>
      <c r="AW12" s="4">
        <v>3761.22</v>
      </c>
      <c r="AX12" s="5">
        <v>1909045</v>
      </c>
      <c r="AY12" s="4">
        <v>3423.3800000000028</v>
      </c>
      <c r="AZ12" s="1">
        <v>506</v>
      </c>
      <c r="BA12" s="4">
        <v>3772.82</v>
      </c>
      <c r="BB12" s="5">
        <v>2175756.5</v>
      </c>
      <c r="BC12" s="4">
        <v>3746.8589999999995</v>
      </c>
      <c r="BD12" s="1">
        <v>553</v>
      </c>
      <c r="BE12" s="4">
        <v>3934.46</v>
      </c>
      <c r="BF12" s="5">
        <v>27252637.5</v>
      </c>
      <c r="BG12" s="4">
        <v>127878.29800000001</v>
      </c>
      <c r="BH12" s="1">
        <v>7550</v>
      </c>
      <c r="BI12" s="4">
        <v>51592.35</v>
      </c>
    </row>
    <row r="13" spans="1:61" x14ac:dyDescent="0.35">
      <c r="A13" t="s">
        <v>13</v>
      </c>
      <c r="B13" s="5">
        <v>1268704</v>
      </c>
      <c r="C13" s="4">
        <v>2817.159000000001</v>
      </c>
      <c r="D13" s="1">
        <v>254</v>
      </c>
      <c r="E13" s="4">
        <v>4994.8999999999996</v>
      </c>
      <c r="F13" s="5">
        <v>3558552</v>
      </c>
      <c r="G13" s="4">
        <v>50796.009999999966</v>
      </c>
      <c r="H13" s="1">
        <v>472</v>
      </c>
      <c r="I13" s="4">
        <v>7539.31</v>
      </c>
      <c r="J13" s="5">
        <v>1257855</v>
      </c>
      <c r="K13" s="4">
        <v>2978.3500000000013</v>
      </c>
      <c r="L13" s="1">
        <v>306</v>
      </c>
      <c r="M13" s="4">
        <v>4110.6400000000003</v>
      </c>
      <c r="N13" s="5">
        <v>871325</v>
      </c>
      <c r="O13" s="4">
        <v>8206.9000000000015</v>
      </c>
      <c r="P13" s="1">
        <v>138</v>
      </c>
      <c r="Q13" s="4">
        <v>6313.95</v>
      </c>
      <c r="R13" s="5">
        <v>2187325</v>
      </c>
      <c r="S13" s="4">
        <v>6065.2200000000066</v>
      </c>
      <c r="T13" s="1">
        <v>472</v>
      </c>
      <c r="U13" s="4">
        <v>4634.16</v>
      </c>
      <c r="V13" s="5">
        <v>2379143</v>
      </c>
      <c r="W13" s="4">
        <v>6694.9730000000018</v>
      </c>
      <c r="X13" s="1">
        <v>419</v>
      </c>
      <c r="Y13" s="4">
        <v>5678.15</v>
      </c>
      <c r="Z13" s="5">
        <v>2361365</v>
      </c>
      <c r="AA13" s="4">
        <v>5392.1099999999942</v>
      </c>
      <c r="AB13" s="1">
        <v>478</v>
      </c>
      <c r="AC13" s="4">
        <v>4940.09</v>
      </c>
      <c r="AD13" s="5">
        <v>1704910</v>
      </c>
      <c r="AE13" s="4">
        <v>5970.329999999999</v>
      </c>
      <c r="AF13" s="1">
        <v>391</v>
      </c>
      <c r="AG13" s="4">
        <v>4360.38</v>
      </c>
      <c r="AH13" s="5">
        <v>1822722</v>
      </c>
      <c r="AI13" s="4">
        <v>3916.5099999999961</v>
      </c>
      <c r="AJ13" s="1">
        <v>359</v>
      </c>
      <c r="AK13" s="4">
        <v>5077.22</v>
      </c>
      <c r="AL13" s="5">
        <v>1484339</v>
      </c>
      <c r="AM13" s="4">
        <v>6074.2999999999984</v>
      </c>
      <c r="AN13" s="1">
        <v>341</v>
      </c>
      <c r="AO13" s="4">
        <v>4352.8999999999996</v>
      </c>
      <c r="AP13" s="5">
        <v>2136445</v>
      </c>
      <c r="AQ13" s="4">
        <v>11253.429999999998</v>
      </c>
      <c r="AR13" s="1">
        <v>371</v>
      </c>
      <c r="AS13" s="4">
        <v>5758.61</v>
      </c>
      <c r="AT13" s="5">
        <v>2691868</v>
      </c>
      <c r="AU13" s="4">
        <v>25439.449999999975</v>
      </c>
      <c r="AV13" s="1">
        <v>466</v>
      </c>
      <c r="AW13" s="4">
        <v>5776.54</v>
      </c>
      <c r="AX13" s="5">
        <v>2289656</v>
      </c>
      <c r="AY13" s="4">
        <v>9953.0530000000072</v>
      </c>
      <c r="AZ13" s="1">
        <v>405</v>
      </c>
      <c r="BA13" s="4">
        <v>5653.47</v>
      </c>
      <c r="BB13" s="5">
        <v>2335362</v>
      </c>
      <c r="BC13" s="4">
        <v>28427.726999999999</v>
      </c>
      <c r="BD13" s="1">
        <v>392</v>
      </c>
      <c r="BE13" s="4">
        <v>5957.56</v>
      </c>
      <c r="BF13" s="5">
        <v>28349571</v>
      </c>
      <c r="BG13" s="4">
        <v>173985.52199999994</v>
      </c>
      <c r="BH13" s="1">
        <v>5264</v>
      </c>
      <c r="BI13" s="4">
        <v>75147.87999999999</v>
      </c>
    </row>
    <row r="14" spans="1:61" x14ac:dyDescent="0.35">
      <c r="A14" t="s">
        <v>11</v>
      </c>
      <c r="B14" s="5">
        <v>849980</v>
      </c>
      <c r="C14" s="4">
        <v>1832.4290000000005</v>
      </c>
      <c r="D14" s="1">
        <v>137</v>
      </c>
      <c r="E14" s="4">
        <v>6204.23</v>
      </c>
      <c r="F14" s="5">
        <v>4230144.99</v>
      </c>
      <c r="G14" s="4">
        <v>139522.29000000004</v>
      </c>
      <c r="H14" s="1">
        <v>486</v>
      </c>
      <c r="I14" s="4">
        <v>8704</v>
      </c>
      <c r="J14" s="5">
        <v>1301285</v>
      </c>
      <c r="K14" s="4">
        <v>3345.9510000000018</v>
      </c>
      <c r="L14" s="1">
        <v>325</v>
      </c>
      <c r="M14" s="4">
        <v>4003.95</v>
      </c>
      <c r="N14" s="5">
        <v>558535</v>
      </c>
      <c r="O14" s="4">
        <v>1886.6800000000005</v>
      </c>
      <c r="P14" s="1">
        <v>108</v>
      </c>
      <c r="Q14" s="4">
        <v>5171.62</v>
      </c>
      <c r="R14" s="5">
        <v>2076905</v>
      </c>
      <c r="S14" s="4">
        <v>7339.5800000000063</v>
      </c>
      <c r="T14" s="1">
        <v>425</v>
      </c>
      <c r="U14" s="4">
        <v>4886.84</v>
      </c>
      <c r="V14" s="5">
        <v>2286780</v>
      </c>
      <c r="W14" s="4">
        <v>11965.854000000014</v>
      </c>
      <c r="X14" s="1">
        <v>380</v>
      </c>
      <c r="Y14" s="4">
        <v>6017.84</v>
      </c>
      <c r="Z14" s="5">
        <v>2165195</v>
      </c>
      <c r="AA14" s="4">
        <v>5247.8590000000086</v>
      </c>
      <c r="AB14" s="1">
        <v>433</v>
      </c>
      <c r="AC14" s="4">
        <v>5000.45</v>
      </c>
      <c r="AD14" s="5">
        <v>1550850</v>
      </c>
      <c r="AE14" s="4">
        <v>3584.2300000000018</v>
      </c>
      <c r="AF14" s="1">
        <v>292</v>
      </c>
      <c r="AG14" s="4">
        <v>5311.13</v>
      </c>
      <c r="AH14" s="5">
        <v>1180500</v>
      </c>
      <c r="AI14" s="4">
        <v>2809.9999999999986</v>
      </c>
      <c r="AJ14" s="1">
        <v>275</v>
      </c>
      <c r="AK14" s="4">
        <v>4292.7299999999996</v>
      </c>
      <c r="AL14" s="5">
        <v>1362815</v>
      </c>
      <c r="AM14" s="4">
        <v>3181.3799999999983</v>
      </c>
      <c r="AN14" s="1">
        <v>306</v>
      </c>
      <c r="AO14" s="4">
        <v>4453.6400000000003</v>
      </c>
      <c r="AP14" s="5">
        <v>1182282</v>
      </c>
      <c r="AQ14" s="4">
        <v>13035.720000000003</v>
      </c>
      <c r="AR14" s="1">
        <v>310</v>
      </c>
      <c r="AS14" s="4">
        <v>3813.81</v>
      </c>
      <c r="AT14" s="5">
        <v>2071220</v>
      </c>
      <c r="AU14" s="4">
        <v>24812.380000000016</v>
      </c>
      <c r="AV14" s="1">
        <v>370</v>
      </c>
      <c r="AW14" s="4">
        <v>5597.89</v>
      </c>
      <c r="AX14" s="5">
        <v>1368375</v>
      </c>
      <c r="AY14" s="4">
        <v>18340.699999999997</v>
      </c>
      <c r="AZ14" s="1">
        <v>309</v>
      </c>
      <c r="BA14" s="4">
        <v>4428.3999999999996</v>
      </c>
      <c r="BB14" s="5">
        <v>1868895</v>
      </c>
      <c r="BC14" s="4">
        <v>38391.219999999987</v>
      </c>
      <c r="BD14" s="1">
        <v>385</v>
      </c>
      <c r="BE14" s="4">
        <v>4854.2700000000004</v>
      </c>
      <c r="BF14" s="5">
        <v>24053761.990000002</v>
      </c>
      <c r="BG14" s="4">
        <v>275296.27300000004</v>
      </c>
      <c r="BH14" s="1">
        <v>4541</v>
      </c>
      <c r="BI14" s="4">
        <v>72740.799999999988</v>
      </c>
    </row>
    <row r="15" spans="1:61" x14ac:dyDescent="0.35">
      <c r="A15" t="s">
        <v>8</v>
      </c>
      <c r="B15" s="5">
        <v>969242</v>
      </c>
      <c r="C15" s="4">
        <v>2455.838999999999</v>
      </c>
      <c r="D15" s="1">
        <v>176</v>
      </c>
      <c r="E15" s="4">
        <v>5507.06</v>
      </c>
      <c r="F15" s="5">
        <v>1104222.94</v>
      </c>
      <c r="G15" s="4">
        <v>34874.559999999998</v>
      </c>
      <c r="H15" s="1">
        <v>153</v>
      </c>
      <c r="I15" s="4">
        <v>7217.14</v>
      </c>
      <c r="J15" s="5">
        <v>2962986</v>
      </c>
      <c r="K15" s="4">
        <v>8751.5279999999984</v>
      </c>
      <c r="L15" s="1">
        <v>373</v>
      </c>
      <c r="M15" s="4">
        <v>7943.66</v>
      </c>
      <c r="N15" s="5"/>
      <c r="O15" s="4"/>
      <c r="P15" s="1"/>
      <c r="Q15" s="4"/>
      <c r="R15" s="5">
        <v>2647159</v>
      </c>
      <c r="S15" s="4">
        <v>7937.2300000000087</v>
      </c>
      <c r="T15" s="1">
        <v>394</v>
      </c>
      <c r="U15" s="4">
        <v>6718.68</v>
      </c>
      <c r="V15" s="5">
        <v>3630299</v>
      </c>
      <c r="W15" s="4">
        <v>13502.050000000003</v>
      </c>
      <c r="X15" s="1">
        <v>471</v>
      </c>
      <c r="Y15" s="4">
        <v>7707.64</v>
      </c>
      <c r="Z15" s="5">
        <v>4849024</v>
      </c>
      <c r="AA15" s="4">
        <v>15474.140000000014</v>
      </c>
      <c r="AB15" s="1">
        <v>537</v>
      </c>
      <c r="AC15" s="4">
        <v>9029.84</v>
      </c>
      <c r="AD15" s="5">
        <v>2438467</v>
      </c>
      <c r="AE15" s="4">
        <v>7180.520000000005</v>
      </c>
      <c r="AF15" s="1">
        <v>343</v>
      </c>
      <c r="AG15" s="4">
        <v>7109.23</v>
      </c>
      <c r="AH15" s="5">
        <v>2235970</v>
      </c>
      <c r="AI15" s="4">
        <v>5860.3600000000015</v>
      </c>
      <c r="AJ15" s="1">
        <v>247</v>
      </c>
      <c r="AK15" s="4">
        <v>9052.51</v>
      </c>
      <c r="AL15" s="5">
        <v>2900660</v>
      </c>
      <c r="AM15" s="4">
        <v>8341.8199999999906</v>
      </c>
      <c r="AN15" s="1">
        <v>253</v>
      </c>
      <c r="AO15" s="4">
        <v>11465.06</v>
      </c>
      <c r="AP15" s="5">
        <v>2994530.8</v>
      </c>
      <c r="AQ15" s="4">
        <v>7991.6800000000085</v>
      </c>
      <c r="AR15" s="1">
        <v>370</v>
      </c>
      <c r="AS15" s="4">
        <v>8093.33</v>
      </c>
      <c r="AT15" s="5">
        <v>4902284</v>
      </c>
      <c r="AU15" s="4">
        <v>50366.540999999983</v>
      </c>
      <c r="AV15" s="1">
        <v>492</v>
      </c>
      <c r="AW15" s="4">
        <v>9963.99</v>
      </c>
      <c r="AX15" s="5">
        <v>1681494</v>
      </c>
      <c r="AY15" s="4">
        <v>7355.1850000000095</v>
      </c>
      <c r="AZ15" s="1">
        <v>310</v>
      </c>
      <c r="BA15" s="4">
        <v>5424.17</v>
      </c>
      <c r="BB15" s="5">
        <v>2524278</v>
      </c>
      <c r="BC15" s="4">
        <v>25016.399999999998</v>
      </c>
      <c r="BD15" s="1">
        <v>396</v>
      </c>
      <c r="BE15" s="4">
        <v>6374.44</v>
      </c>
      <c r="BF15" s="5">
        <v>35840616.739999995</v>
      </c>
      <c r="BG15" s="4">
        <v>195107.853</v>
      </c>
      <c r="BH15" s="1">
        <v>4515</v>
      </c>
      <c r="BI15" s="4">
        <v>101606.75000000001</v>
      </c>
    </row>
    <row r="16" spans="1:61" x14ac:dyDescent="0.35">
      <c r="A16" t="s">
        <v>7</v>
      </c>
      <c r="B16" s="5">
        <v>4010306</v>
      </c>
      <c r="C16" s="4">
        <v>10750.130000000008</v>
      </c>
      <c r="D16" s="1">
        <v>744</v>
      </c>
      <c r="E16" s="4">
        <v>10778.15</v>
      </c>
      <c r="F16" s="5">
        <v>3513045</v>
      </c>
      <c r="G16" s="4">
        <v>61897.69000000001</v>
      </c>
      <c r="H16" s="1">
        <v>471</v>
      </c>
      <c r="I16" s="4">
        <v>7458.69</v>
      </c>
      <c r="J16" s="5">
        <v>2159513.7000000002</v>
      </c>
      <c r="K16" s="4">
        <v>7094.708000000006</v>
      </c>
      <c r="L16" s="1">
        <v>367</v>
      </c>
      <c r="M16" s="4">
        <v>5884.23</v>
      </c>
      <c r="N16" s="5">
        <v>1020189</v>
      </c>
      <c r="O16" s="4">
        <v>3803.0699999999974</v>
      </c>
      <c r="P16" s="1">
        <v>164</v>
      </c>
      <c r="Q16" s="4">
        <v>6220.66</v>
      </c>
      <c r="R16" s="5"/>
      <c r="S16" s="4"/>
      <c r="T16" s="1"/>
      <c r="U16" s="4"/>
      <c r="V16" s="5">
        <v>3577391</v>
      </c>
      <c r="W16" s="4">
        <v>9107.4060000000118</v>
      </c>
      <c r="X16" s="1">
        <v>501</v>
      </c>
      <c r="Y16" s="4">
        <v>7140.5</v>
      </c>
      <c r="Z16" s="5">
        <v>4423701</v>
      </c>
      <c r="AA16" s="4">
        <v>11274.420000000015</v>
      </c>
      <c r="AB16" s="1">
        <v>656</v>
      </c>
      <c r="AC16" s="4">
        <v>6743.45</v>
      </c>
      <c r="AD16" s="5">
        <v>2773682</v>
      </c>
      <c r="AE16" s="4">
        <v>7061.5000000000064</v>
      </c>
      <c r="AF16" s="1">
        <v>407</v>
      </c>
      <c r="AG16" s="4">
        <v>6814.94</v>
      </c>
      <c r="AH16" s="5">
        <v>1807820</v>
      </c>
      <c r="AI16" s="4">
        <v>4692.5899999999992</v>
      </c>
      <c r="AJ16" s="1">
        <v>311</v>
      </c>
      <c r="AK16" s="4">
        <v>5812.93</v>
      </c>
      <c r="AL16" s="5">
        <v>2010867</v>
      </c>
      <c r="AM16" s="4">
        <v>6938.0900000000011</v>
      </c>
      <c r="AN16" s="1">
        <v>360</v>
      </c>
      <c r="AO16" s="4">
        <v>5585.74</v>
      </c>
      <c r="AP16" s="5">
        <v>2001533</v>
      </c>
      <c r="AQ16" s="4">
        <v>5486.480000000005</v>
      </c>
      <c r="AR16" s="1">
        <v>361</v>
      </c>
      <c r="AS16" s="4">
        <v>5544.41</v>
      </c>
      <c r="AT16" s="5">
        <v>3081978</v>
      </c>
      <c r="AU16" s="4">
        <v>10263.260000000007</v>
      </c>
      <c r="AV16" s="1">
        <v>432</v>
      </c>
      <c r="AW16" s="4">
        <v>7134.21</v>
      </c>
      <c r="AX16" s="5">
        <v>1664317</v>
      </c>
      <c r="AY16" s="4">
        <v>4508.239999999998</v>
      </c>
      <c r="AZ16" s="1">
        <v>300</v>
      </c>
      <c r="BA16" s="4">
        <v>5547.72</v>
      </c>
      <c r="BB16" s="5">
        <v>1774468</v>
      </c>
      <c r="BC16" s="4">
        <v>11204.5</v>
      </c>
      <c r="BD16" s="1">
        <v>328</v>
      </c>
      <c r="BE16" s="4">
        <v>5409.96</v>
      </c>
      <c r="BF16" s="5">
        <v>33818810.700000003</v>
      </c>
      <c r="BG16" s="4">
        <v>154082.08400000003</v>
      </c>
      <c r="BH16" s="1">
        <v>5402</v>
      </c>
      <c r="BI16" s="4">
        <v>86075.590000000011</v>
      </c>
    </row>
    <row r="17" spans="1:61" x14ac:dyDescent="0.35">
      <c r="A17" t="s">
        <v>26</v>
      </c>
      <c r="B17" s="5">
        <v>12815783</v>
      </c>
      <c r="C17" s="4">
        <v>31862.646000000008</v>
      </c>
      <c r="D17" s="1">
        <v>2697</v>
      </c>
      <c r="E17" s="4">
        <v>52763.13</v>
      </c>
      <c r="F17" s="5">
        <v>31037627.930000003</v>
      </c>
      <c r="G17" s="4">
        <v>513078.75999999995</v>
      </c>
      <c r="H17" s="1">
        <v>4235</v>
      </c>
      <c r="I17" s="4">
        <v>73580.990000000005</v>
      </c>
      <c r="J17" s="5">
        <v>17993901.699999999</v>
      </c>
      <c r="K17" s="4">
        <v>50570.965000000011</v>
      </c>
      <c r="L17" s="1">
        <v>3620</v>
      </c>
      <c r="M17" s="4">
        <v>50116.2</v>
      </c>
      <c r="N17" s="5">
        <v>8455774</v>
      </c>
      <c r="O17" s="4">
        <v>65083.039999999986</v>
      </c>
      <c r="P17" s="1">
        <v>1286</v>
      </c>
      <c r="Q17" s="4">
        <v>59080.08</v>
      </c>
      <c r="R17" s="5">
        <v>21729578</v>
      </c>
      <c r="S17" s="4">
        <v>72569.45000000007</v>
      </c>
      <c r="T17" s="1">
        <v>4391</v>
      </c>
      <c r="U17" s="4">
        <v>46480.590000000004</v>
      </c>
      <c r="V17" s="5">
        <v>26984876</v>
      </c>
      <c r="W17" s="4">
        <v>95720.293000000049</v>
      </c>
      <c r="X17" s="1">
        <v>4453</v>
      </c>
      <c r="Y17" s="4">
        <v>60459.960000000006</v>
      </c>
      <c r="Z17" s="5">
        <v>29452448</v>
      </c>
      <c r="AA17" s="4">
        <v>90134.131000000052</v>
      </c>
      <c r="AB17" s="1">
        <v>5268</v>
      </c>
      <c r="AC17" s="4">
        <v>55978.489999999991</v>
      </c>
      <c r="AD17" s="5">
        <v>19206413</v>
      </c>
      <c r="AE17" s="4">
        <v>52062.330000000009</v>
      </c>
      <c r="AF17" s="1">
        <v>3630</v>
      </c>
      <c r="AG17" s="4">
        <v>54240.25</v>
      </c>
      <c r="AH17" s="5">
        <v>15888304</v>
      </c>
      <c r="AI17" s="4">
        <v>42771.51999999999</v>
      </c>
      <c r="AJ17" s="1">
        <v>3080</v>
      </c>
      <c r="AK17" s="4">
        <v>53492.91</v>
      </c>
      <c r="AL17" s="5">
        <v>16932791</v>
      </c>
      <c r="AM17" s="4">
        <v>49328.169999999991</v>
      </c>
      <c r="AN17" s="1">
        <v>3292</v>
      </c>
      <c r="AO17" s="4">
        <v>54326.9</v>
      </c>
      <c r="AP17" s="5">
        <v>20543813.800000001</v>
      </c>
      <c r="AQ17" s="4">
        <v>78037.960000000036</v>
      </c>
      <c r="AR17" s="1">
        <v>3659</v>
      </c>
      <c r="AS17" s="4">
        <v>57529.56</v>
      </c>
      <c r="AT17" s="5">
        <v>29173221.5</v>
      </c>
      <c r="AU17" s="4">
        <v>225221.43099999998</v>
      </c>
      <c r="AV17" s="1">
        <v>4605</v>
      </c>
      <c r="AW17" s="4">
        <v>64432.68</v>
      </c>
      <c r="AX17" s="5">
        <v>15960455.050000001</v>
      </c>
      <c r="AY17" s="4">
        <v>60892.647000000012</v>
      </c>
      <c r="AZ17" s="1">
        <v>3237</v>
      </c>
      <c r="BA17" s="4">
        <v>49611.4</v>
      </c>
      <c r="BB17" s="5">
        <v>20230745.5</v>
      </c>
      <c r="BC17" s="4">
        <v>147357.886</v>
      </c>
      <c r="BD17" s="1">
        <v>3646</v>
      </c>
      <c r="BE17" s="4">
        <v>56438.110000000008</v>
      </c>
      <c r="BF17" s="5">
        <v>286405732.48000002</v>
      </c>
      <c r="BG17" s="4">
        <v>1574691.2290000001</v>
      </c>
      <c r="BH17" s="1">
        <v>51099</v>
      </c>
      <c r="BI17" s="4">
        <v>788531.24999999988</v>
      </c>
    </row>
  </sheetData>
  <conditionalFormatting pivot="1" sqref="B7:B17 F7:F17 J7:J17 N7:N17 R7:R17 V7:V17 Z7:Z17 AD7:AD17 AH7:AH17 AL7:AL17 AP7:AP17 AT7:AT17 AX7:AX17 BB7:BB17 BF7:BF17">
    <cfRule type="dataBar" priority="2">
      <dataBar>
        <cfvo type="min"/>
        <cfvo type="max"/>
        <color rgb="FFFF555A"/>
      </dataBar>
      <extLst>
        <ext xmlns:x14="http://schemas.microsoft.com/office/spreadsheetml/2009/9/main" uri="{B025F937-C7B1-47D3-B67F-A62EFF666E3E}">
          <x14:id>{FCF7222B-07B7-4215-92C9-E81BF0F81A6B}</x14:id>
        </ext>
      </extLst>
    </cfRule>
  </conditionalFormatting>
  <conditionalFormatting pivot="1" sqref="E7:E17 I7:I17 M7:M17 Q7:Q17 U7:U17 Y7:Y17 AC7:AC17 AG7:AG17 AK7:AK17 AO7:AO17 AS7:AS17 AW7:AW17 BA7:BA17 BE7:BE17 BI7:BI17">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pivot="1">
          <x14:cfRule type="dataBar" id="{FCF7222B-07B7-4215-92C9-E81BF0F81A6B}">
            <x14:dataBar minLength="0" maxLength="100" gradient="0">
              <x14:cfvo type="autoMin"/>
              <x14:cfvo type="autoMax"/>
              <x14:negativeFillColor rgb="FFFF0000"/>
              <x14:axisColor rgb="FF000000"/>
            </x14:dataBar>
          </x14:cfRule>
          <xm:sqref>B7:B17 F7:F17 J7:J17 N7:N17 R7:R17 V7:V17 Z7:Z17 AD7:AD17 AH7:AH17 AL7:AL17 AP7:AP17 AT7:AT17 AX7:AX17 BB7:BB17 BF7:BF17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E14" sqref="E1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EBD53-E5C8-4BA5-8B51-0815305A3F7B}">
  <dimension ref="A6"/>
  <sheetViews>
    <sheetView tabSelected="1" topLeftCell="A5" workbookViewId="0">
      <selection activeCell="R9" sqref="R9"/>
    </sheetView>
  </sheetViews>
  <sheetFormatPr defaultRowHeight="14.5" x14ac:dyDescent="0.35"/>
  <sheetData>
    <row r="6" customForma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AA16E-77FE-4889-8EB6-E9F2A194521F}">
  <dimension ref="A1"/>
  <sheetViews>
    <sheetView workbookViewId="0">
      <selection activeCell="L12" sqref="L12"/>
    </sheetView>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1A820-610C-47DD-AAC5-765C5CC6ECFF}">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617831-1BD0-4C16-95F5-4D71D7E373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Sheet5</vt:lpstr>
      <vt:lpstr>Branch_Revenue_Data</vt:lpstr>
      <vt:lpstr>Branch Pivot</vt:lpstr>
      <vt:lpstr>Revenue by Branch Chart</vt:lpstr>
      <vt:lpstr>Dashboard</vt:lpstr>
      <vt:lpstr>Monthly Revenue Trend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SHAHEER K A</cp:lastModifiedBy>
  <dcterms:created xsi:type="dcterms:W3CDTF">2015-06-05T18:17:20Z</dcterms:created>
  <dcterms:modified xsi:type="dcterms:W3CDTF">2026-08-22T14:55:45Z</dcterms:modified>
</cp:coreProperties>
</file>